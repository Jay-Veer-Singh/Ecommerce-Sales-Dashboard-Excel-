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Jay\"/>
    </mc:Choice>
  </mc:AlternateContent>
  <xr:revisionPtr revIDLastSave="0" documentId="13_ncr:1_{D783FBBA-3D8E-4026-BF85-1B66DC821BCA}" xr6:coauthVersionLast="47" xr6:coauthVersionMax="47" xr10:uidLastSave="{00000000-0000-0000-0000-000000000000}"/>
  <bookViews>
    <workbookView xWindow="-108" yWindow="-108" windowWidth="23256" windowHeight="12456" activeTab="4" xr2:uid="{346724B3-1C49-40AE-AA36-C77CF5D6DD09}"/>
  </bookViews>
  <sheets>
    <sheet name="Data" sheetId="1" r:id="rId1"/>
    <sheet name="Attribute of Buying Plateform" sheetId="7" r:id="rId2"/>
    <sheet name="Pivots" sheetId="5" r:id="rId3"/>
    <sheet name="Pivots2" sheetId="8" r:id="rId4"/>
    <sheet name="Dashboard" sheetId="6" r:id="rId5"/>
  </sheets>
  <definedNames>
    <definedName name="Slicer_Gender_Value">#N/A</definedName>
    <definedName name="Slicer_Order_Mode">#N/A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7" l="1"/>
  <c r="K5" i="7"/>
  <c r="L5" i="7"/>
  <c r="I5" i="7"/>
  <c r="I6" i="7"/>
  <c r="J6" i="7"/>
  <c r="K6" i="7"/>
  <c r="L6" i="7"/>
  <c r="I7" i="7"/>
  <c r="J7" i="7"/>
  <c r="K7" i="7"/>
  <c r="L7" i="7"/>
  <c r="I8" i="7"/>
  <c r="J8" i="7"/>
  <c r="K8" i="7"/>
  <c r="L8" i="7"/>
  <c r="I9" i="7"/>
  <c r="J9" i="7"/>
  <c r="K9" i="7"/>
  <c r="L9" i="7"/>
  <c r="H6" i="7"/>
  <c r="H7" i="7"/>
  <c r="H8" i="7"/>
  <c r="H9" i="7"/>
  <c r="H5" i="7"/>
  <c r="L5" i="5"/>
  <c r="K5" i="5"/>
  <c r="J5" i="5"/>
  <c r="I5" i="5"/>
  <c r="H5" i="5"/>
  <c r="O2" i="1" a="1"/>
  <c r="O2" i="1"/>
  <c r="N2" i="1"/>
  <c r="M2"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<sst xmlns="http://schemas.openxmlformats.org/spreadsheetml/2006/main" count="14501" uniqueCount="2533">
  <si>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</si>
  <si>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</si>
  <si>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</si>
  <si>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</si>
  <si>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</si>
  <si>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</si>
  <si>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</si>
  <si>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</si>
  <si>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</si>
  <si>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</si>
  <si>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</si>
  <si>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</si>
  <si>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</si>
  <si>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</si>
  <si>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</si>
  <si>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</si>
  <si>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</si>
  <si>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</si>
  <si>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</si>
  <si>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</si>
  <si>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</si>
  <si>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</si>
  <si>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</si>
  <si>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</si>
  <si>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</si>
  <si>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</si>
  <si>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</si>
  <si>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</si>
  <si>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</si>
  <si>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</si>
  <si>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</si>
  <si>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</si>
  <si>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</si>
  <si>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</si>
  <si>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</si>
  <si>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</si>
  <si>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</si>
  <si>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</si>
  <si>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</si>
  <si>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</si>
  <si>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</si>
  <si>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</si>
  <si>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</si>
  <si>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</si>
  <si>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</si>
  <si>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</si>
  <si>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</si>
  <si>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</si>
  <si>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</si>
  <si>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</si>
  <si>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</si>
  <si>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</si>
  <si>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</si>
  <si>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</si>
  <si>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</si>
  <si>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</si>
  <si>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</si>
  <si>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</si>
  <si>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</si>
  <si>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</si>
  <si>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</si>
  <si>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</si>
  <si>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</si>
  <si>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</si>
  <si>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</si>
  <si>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</si>
  <si>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</si>
  <si>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</si>
  <si>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</si>
  <si>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</si>
  <si>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</si>
  <si>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</si>
  <si>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</si>
  <si>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</si>
  <si>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</si>
  <si>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</si>
  <si>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</si>
  <si>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</si>
  <si>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</si>
  <si>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</si>
  <si>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</si>
  <si>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</si>
  <si>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</si>
  <si>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</si>
  <si>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</si>
  <si>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</si>
  <si>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</si>
  <si>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</si>
  <si>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</si>
  <si>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</si>
  <si>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</si>
  <si>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</si>
  <si>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</si>
  <si>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</si>
  <si>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</si>
  <si>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</si>
  <si>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</si>
  <si>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</si>
  <si>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</si>
  <si>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</si>
  <si>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</si>
  <si>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</si>
  <si>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</si>
  <si>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</si>
  <si>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</si>
  <si>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</si>
  <si>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</si>
  <si>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</si>
  <si>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</si>
  <si>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</si>
  <si>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</si>
  <si>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</si>
  <si>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</si>
  <si>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</si>
  <si>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</si>
  <si>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</si>
  <si>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</si>
  <si>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</si>
  <si>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</si>
  <si>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</si>
  <si>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</si>
  <si>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</si>
  <si>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</si>
  <si>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</si>
  <si>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</si>
  <si>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</si>
  <si>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</si>
  <si>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</si>
  <si>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</si>
  <si>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</si>
  <si>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</si>
  <si>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</si>
  <si>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</si>
  <si>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</si>
  <si>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</si>
  <si>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</si>
  <si>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</si>
  <si>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</si>
  <si>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</si>
  <si>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</si>
  <si>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</si>
  <si>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</si>
  <si>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</si>
  <si>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</si>
  <si>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</si>
  <si>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</si>
  <si>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</si>
  <si>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</si>
  <si>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</si>
  <si>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</si>
  <si>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</si>
  <si>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</si>
  <si>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</si>
  <si>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</si>
  <si>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</si>
  <si>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</si>
  <si>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</si>
  <si>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</si>
  <si>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</si>
  <si>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</si>
  <si>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</si>
  <si>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</si>
  <si>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</si>
  <si>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</si>
  <si>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</si>
  <si>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</si>
  <si>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</si>
  <si>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</si>
  <si>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</si>
  <si>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</si>
  <si>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</si>
  <si>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</si>
  <si>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</si>
  <si>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</si>
  <si>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</si>
  <si>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</si>
  <si>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</si>
  <si>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</si>
  <si>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</si>
  <si>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</si>
  <si>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</si>
  <si>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</si>
  <si>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</si>
  <si>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</si>
  <si>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</si>
  <si>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</si>
  <si>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</si>
  <si>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</si>
  <si>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</si>
  <si>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</si>
  <si>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</si>
  <si>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</si>
  <si>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</si>
  <si>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</si>
  <si>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</si>
  <si>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</si>
  <si>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</si>
  <si>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</si>
  <si>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</si>
  <si>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</si>
  <si>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</si>
  <si>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</si>
  <si>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</si>
  <si>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</si>
  <si>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</si>
  <si>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</si>
  <si>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</si>
  <si>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</si>
  <si>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</si>
  <si>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</si>
  <si>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</si>
  <si>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</si>
  <si>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</si>
  <si>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</si>
  <si>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</si>
  <si>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</si>
  <si>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</si>
  <si>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</si>
  <si>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</si>
  <si>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</si>
  <si>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</si>
  <si>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</si>
  <si>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</si>
  <si>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</si>
  <si>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</si>
  <si>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</si>
  <si>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</si>
  <si>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</si>
  <si>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</si>
  <si>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</si>
  <si>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</si>
  <si>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</si>
  <si>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</si>
  <si>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</si>
  <si>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</si>
  <si>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</si>
  <si>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</si>
  <si>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</si>
  <si>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</si>
  <si>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</si>
  <si>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</si>
  <si>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</si>
  <si>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</si>
  <si>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</si>
  <si>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</si>
  <si>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</si>
  <si>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</si>
  <si>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</si>
  <si>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</si>
  <si>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</si>
  <si>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</si>
  <si>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</si>
  <si>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</si>
  <si>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</si>
  <si>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</si>
  <si>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</si>
  <si>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</si>
  <si>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</si>
  <si>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</si>
  <si>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</si>
  <si>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</si>
  <si>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</si>
  <si>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</si>
  <si>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</si>
  <si>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</si>
  <si>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</si>
  <si>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</si>
  <si>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</si>
  <si>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</si>
  <si>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</si>
  <si>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</si>
  <si>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</si>
  <si>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</si>
  <si>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</si>
  <si>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</si>
  <si>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</si>
  <si>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</si>
  <si>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</si>
  <si>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</si>
  <si>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</si>
  <si>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</si>
  <si>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</si>
  <si>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</si>
  <si>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</si>
  <si>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</si>
  <si>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</si>
  <si>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</si>
  <si>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</si>
  <si>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</si>
  <si>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</si>
  <si>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</si>
  <si>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</si>
  <si>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</si>
  <si>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</si>
  <si>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</si>
  <si>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</si>
  <si>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</si>
  <si>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</si>
  <si>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</si>
  <si>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</si>
  <si>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</si>
  <si>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</si>
  <si>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</si>
  <si>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</si>
  <si>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</si>
  <si>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</si>
  <si>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</si>
  <si>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</si>
  <si>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</si>
  <si>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</si>
  <si>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</si>
  <si>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</si>
  <si>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</si>
  <si>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</si>
  <si>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</si>
  <si>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</si>
  <si>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</si>
  <si>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</si>
  <si>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</si>
  <si>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</si>
  <si>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</si>
  <si>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</si>
  <si>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</si>
  <si>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</si>
  <si>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</si>
  <si>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</si>
  <si>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</si>
  <si>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</si>
  <si>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</si>
  <si>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</si>
  <si>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</si>
  <si>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</si>
  <si>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</si>
  <si>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</si>
  <si>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</si>
  <si>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</si>
  <si>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</si>
  <si>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</si>
  <si>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</si>
  <si>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</si>
  <si>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</si>
  <si>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</si>
  <si>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</si>
  <si>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</si>
  <si>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</si>
  <si>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</si>
  <si>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</si>
  <si>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</si>
  <si>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</si>
  <si>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</si>
  <si>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</si>
  <si>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</si>
  <si>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</si>
  <si>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</si>
  <si>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</si>
  <si>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</si>
  <si>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</si>
  <si>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</si>
  <si>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</si>
  <si>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</si>
  <si>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</si>
  <si>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</si>
  <si>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</si>
  <si>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</si>
  <si>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</si>
  <si>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</si>
  <si>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</si>
  <si>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</si>
  <si>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</si>
  <si>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</si>
  <si>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</si>
  <si>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</si>
  <si>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</si>
  <si>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</si>
  <si>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</si>
  <si>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</si>
  <si>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</si>
  <si>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</si>
  <si>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</si>
  <si>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</si>
  <si>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</si>
  <si>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</si>
  <si>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</si>
  <si>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</si>
  <si>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</si>
  <si>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</si>
  <si>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</si>
  <si>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</si>
  <si>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</si>
  <si>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</si>
  <si>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</si>
  <si>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</si>
  <si>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</si>
  <si>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</si>
  <si>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</si>
  <si>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</si>
  <si>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</si>
  <si>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</si>
  <si>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</si>
  <si>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</si>
  <si>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</si>
  <si>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</si>
  <si>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</si>
  <si>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</si>
  <si>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</si>
  <si>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</si>
  <si>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</si>
  <si>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</si>
  <si>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</si>
  <si>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</si>
  <si>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</si>
  <si>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</si>
  <si>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</si>
  <si>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</si>
  <si>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</si>
  <si>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</si>
  <si>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</si>
  <si>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</si>
  <si>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</si>
  <si>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</si>
  <si>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</si>
  <si>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</si>
  <si>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</si>
  <si>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</si>
  <si>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</si>
  <si>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</si>
  <si>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</si>
  <si>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</si>
  <si>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</si>
  <si>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</si>
  <si>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</si>
  <si>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</si>
  <si>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</si>
  <si>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</si>
  <si>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</si>
  <si>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</si>
  <si>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</si>
  <si>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</si>
  <si>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</si>
  <si>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</si>
  <si>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</si>
  <si>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</si>
  <si>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</si>
  <si>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</si>
  <si>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</si>
  <si>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</si>
  <si>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</si>
  <si>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</si>
  <si>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</si>
  <si>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</si>
  <si>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</si>
  <si>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</si>
  <si>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</si>
  <si>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</si>
  <si>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</si>
  <si>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</si>
  <si>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</si>
  <si>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</si>
  <si>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</si>
  <si>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</si>
  <si>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</si>
  <si>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</si>
  <si>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</si>
  <si>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</si>
  <si>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</si>
  <si>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</si>
  <si>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</si>
  <si>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</si>
  <si>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</si>
  <si>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</si>
  <si>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</si>
  <si>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</si>
  <si>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</si>
  <si>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</si>
  <si>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</si>
  <si>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</si>
  <si>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</si>
  <si>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</si>
  <si>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</si>
  <si>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</si>
  <si>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</si>
  <si>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</si>
  <si>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</si>
  <si>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</si>
  <si>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</si>
  <si>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</si>
  <si>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</si>
  <si>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</si>
  <si>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</si>
  <si>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</si>
  <si>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</si>
  <si>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</si>
  <si>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</si>
  <si>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</si>
  <si>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</si>
  <si>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</si>
  <si>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</si>
  <si>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</si>
  <si>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</si>
  <si>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</si>
  <si>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</si>
  <si>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</si>
  <si>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</si>
  <si>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</si>
  <si>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</si>
  <si>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</si>
  <si>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</si>
  <si>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</si>
  <si>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</si>
  <si>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</si>
  <si>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</si>
  <si>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</si>
  <si>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</si>
  <si>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</si>
  <si>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</si>
  <si>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</si>
  <si>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</si>
  <si>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</si>
  <si>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</si>
  <si>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</si>
  <si>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</si>
  <si>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</si>
  <si>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</si>
  <si>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</si>
  <si>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</si>
  <si>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</si>
  <si>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</si>
  <si>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</si>
  <si>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</si>
  <si>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</si>
  <si>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</si>
  <si>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</si>
  <si>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</si>
  <si>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</si>
  <si>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</si>
  <si>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</si>
  <si>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</si>
  <si>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</si>
  <si>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</si>
  <si>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</si>
  <si>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</si>
  <si>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</si>
  <si>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</si>
  <si>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</si>
  <si>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</si>
  <si>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</si>
  <si>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</si>
  <si>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</si>
  <si>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</si>
  <si>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</si>
  <si>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</si>
  <si>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</si>
  <si>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</si>
  <si>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</si>
  <si>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</si>
  <si>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</si>
  <si>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</si>
  <si>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</si>
  <si>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</si>
  <si>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</si>
  <si>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</si>
  <si>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</si>
  <si>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</si>
  <si>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</si>
  <si>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</si>
  <si>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</si>
  <si>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</si>
  <si>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</si>
  <si>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</si>
  <si>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</si>
  <si>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</si>
  <si>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</si>
  <si>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</si>
  <si>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</si>
  <si>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</si>
  <si>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</si>
  <si>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</si>
  <si>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</si>
  <si>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</si>
  <si>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</si>
  <si>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</si>
  <si>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</si>
  <si>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</si>
  <si>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</si>
  <si>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</si>
  <si>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</si>
  <si>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</si>
  <si>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</si>
  <si>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</si>
  <si>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</si>
  <si>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</si>
  <si>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</si>
  <si>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</si>
  <si>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</si>
  <si>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</si>
  <si>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</si>
  <si>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</si>
  <si>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</si>
  <si>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</si>
  <si>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</si>
  <si>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</si>
  <si>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</si>
  <si>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</si>
  <si>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</si>
  <si>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</si>
  <si>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</si>
  <si>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</si>
  <si>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</si>
  <si>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</si>
  <si>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</si>
  <si>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</si>
  <si>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</si>
  <si>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</si>
  <si>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</si>
  <si>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</si>
  <si>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</si>
  <si>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</si>
  <si>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</si>
  <si>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</si>
  <si>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</si>
  <si>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</si>
  <si>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</si>
  <si>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</si>
  <si>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</si>
  <si>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</si>
  <si>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</si>
  <si>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</si>
  <si>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</si>
  <si>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</si>
  <si>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</si>
  <si>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</si>
  <si>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</si>
  <si>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</si>
  <si>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</si>
  <si>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</si>
  <si>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</si>
  <si>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</si>
  <si>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</si>
  <si>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</si>
  <si>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</si>
  <si>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</si>
  <si>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</si>
  <si>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</si>
  <si>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</si>
  <si>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</si>
  <si>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</si>
  <si>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</si>
  <si>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</si>
  <si>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</si>
  <si>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</si>
  <si>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</si>
  <si>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</si>
  <si>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</si>
  <si>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</si>
  <si>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</si>
  <si>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</si>
  <si>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</si>
  <si>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</si>
  <si>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</si>
  <si>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</si>
  <si>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</si>
  <si>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</si>
  <si>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</si>
  <si>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</si>
  <si>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</si>
  <si>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</si>
  <si>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</si>
  <si>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</si>
  <si>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</si>
  <si>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</si>
  <si>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</si>
  <si>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</si>
  <si>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</si>
  <si>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</si>
  <si>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</si>
  <si>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</si>
  <si>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</si>
  <si>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</si>
  <si>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</si>
  <si>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</si>
  <si>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</si>
  <si>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</si>
  <si>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</si>
  <si>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</si>
  <si>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</si>
  <si>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</si>
  <si>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</si>
  <si>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</si>
  <si>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</si>
  <si>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</si>
  <si>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</si>
  <si>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</si>
  <si>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</si>
  <si>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</si>
  <si>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</si>
  <si>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</si>
  <si>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</si>
  <si>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</si>
  <si>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</si>
  <si>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</si>
  <si>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</si>
  <si>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</si>
  <si>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</si>
  <si>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</si>
  <si>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</si>
  <si>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</si>
  <si>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</si>
  <si>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</si>
  <si>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</si>
  <si>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</si>
  <si>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</si>
  <si>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</si>
  <si>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</si>
  <si>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</si>
  <si>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</si>
  <si>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</si>
  <si>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</si>
  <si>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</si>
  <si>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</si>
  <si>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</si>
  <si>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</si>
  <si>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</si>
  <si>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</si>
  <si>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</si>
  <si>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</si>
  <si>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</si>
  <si>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</si>
  <si>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</si>
  <si>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</si>
  <si>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</si>
  <si>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</si>
  <si>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</si>
  <si>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</si>
  <si>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</si>
  <si>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</si>
  <si>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</si>
  <si>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</si>
  <si>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</si>
  <si>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</si>
  <si>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</si>
  <si>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</si>
  <si>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</si>
  <si>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</si>
  <si>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</si>
  <si>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</si>
  <si>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</si>
  <si>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</si>
  <si>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</si>
  <si>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</si>
  <si>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</si>
  <si>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</si>
  <si>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</si>
  <si>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</si>
  <si>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</si>
  <si>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</si>
  <si>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</si>
  <si>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</si>
  <si>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</si>
  <si>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</si>
  <si>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</si>
  <si>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</si>
  <si>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</si>
  <si>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</si>
  <si>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</si>
  <si>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</si>
  <si>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</si>
  <si>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</si>
  <si>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</si>
  <si>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</si>
  <si>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</si>
  <si>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</si>
  <si>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</si>
  <si>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</si>
  <si>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</si>
  <si>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</si>
  <si>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</si>
  <si>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</si>
  <si>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</si>
  <si>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</si>
  <si>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</si>
  <si>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</si>
  <si>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</si>
  <si>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</si>
  <si>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</si>
  <si>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</si>
  <si>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</si>
  <si>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</si>
  <si>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</si>
  <si>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</si>
  <si>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</si>
  <si>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</si>
  <si>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</si>
  <si>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</si>
  <si>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</si>
  <si>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</si>
  <si>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</si>
  <si>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</si>
  <si>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</si>
  <si>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</si>
  <si>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</si>
  <si>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</si>
  <si>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</si>
  <si>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</si>
  <si>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</si>
  <si>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</si>
  <si>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</si>
  <si>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</si>
  <si>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</si>
  <si>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</si>
  <si>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</si>
  <si>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</si>
  <si>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</si>
  <si>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</si>
  <si>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</si>
  <si>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</si>
  <si>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</si>
  <si>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</si>
  <si>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</si>
  <si>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</si>
  <si>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</si>
  <si>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</si>
  <si>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</si>
  <si>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</si>
  <si>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</si>
  <si>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</si>
  <si>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</si>
  <si>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</si>
  <si>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</si>
  <si>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</si>
  <si>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</si>
  <si>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</si>
  <si>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</si>
  <si>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</si>
  <si>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</si>
  <si>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</si>
  <si>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</si>
  <si>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</si>
  <si>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</si>
  <si>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</si>
  <si>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</si>
  <si>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</si>
  <si>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</si>
  <si>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</si>
  <si>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</si>
  <si>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</si>
  <si>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</si>
  <si>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</si>
  <si>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</si>
  <si>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</si>
  <si>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</si>
  <si>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</si>
  <si>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</si>
  <si>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</si>
  <si>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</si>
  <si>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</si>
  <si>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</si>
  <si>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</si>
  <si>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</si>
  <si>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</si>
  <si>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</si>
  <si>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</si>
  <si>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</si>
  <si>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</si>
  <si>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</si>
  <si>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</si>
  <si>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</si>
  <si>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</si>
  <si>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</si>
  <si>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</si>
  <si>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</si>
  <si>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</si>
  <si>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</si>
  <si>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</si>
  <si>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</si>
  <si>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</si>
  <si>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</si>
  <si>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</si>
  <si>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</si>
  <si>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</si>
  <si>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</si>
  <si>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</si>
  <si>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</si>
  <si>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</si>
  <si>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</si>
  <si>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</si>
  <si>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</si>
  <si>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</si>
  <si>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</si>
  <si>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</si>
  <si>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</si>
  <si>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</si>
  <si>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</si>
  <si>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</si>
  <si>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</si>
  <si>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</si>
  <si>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</si>
  <si>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</si>
  <si>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</si>
  <si>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</si>
  <si>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</si>
  <si>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</si>
  <si>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</si>
  <si>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</si>
  <si>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</si>
  <si>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</si>
  <si>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</si>
  <si>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</si>
  <si>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</si>
  <si>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</si>
  <si>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</si>
  <si>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</si>
  <si>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</si>
  <si>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</si>
  <si>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</si>
  <si>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</si>
  <si>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</si>
  <si>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</si>
  <si>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</si>
  <si>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</si>
  <si>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</si>
  <si>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</si>
  <si>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</si>
  <si>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</si>
  <si>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</si>
  <si>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</si>
  <si>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</si>
  <si>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</si>
  <si>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</si>
  <si>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</si>
  <si>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</si>
  <si>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</si>
  <si>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</si>
  <si>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</si>
  <si>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</si>
  <si>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</si>
  <si>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</si>
  <si>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</si>
  <si>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</si>
  <si>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</si>
  <si>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</si>
  <si>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</si>
  <si>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</si>
  <si>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</si>
  <si>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</si>
  <si>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</si>
  <si>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</si>
  <si>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</si>
  <si>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</si>
  <si>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</si>
  <si>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</si>
  <si>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</si>
  <si>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</si>
  <si>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</si>
  <si>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</si>
  <si>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</si>
  <si>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</si>
  <si>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</si>
  <si>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</si>
  <si>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</si>
  <si>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</si>
  <si>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</si>
  <si>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</si>
  <si>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</si>
  <si>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</si>
  <si>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</si>
  <si>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</si>
  <si>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</si>
  <si>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</si>
  <si>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</si>
  <si>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</si>
  <si>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</si>
  <si>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</si>
  <si>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</si>
  <si>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</si>
  <si>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</si>
  <si>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</si>
  <si>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</si>
  <si>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</si>
  <si>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</si>
  <si>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</si>
  <si>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</si>
  <si>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</si>
  <si>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</si>
  <si>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</si>
  <si>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</si>
  <si>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</si>
  <si>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</si>
  <si>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</si>
  <si>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</si>
  <si>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</si>
  <si>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</si>
  <si>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</si>
  <si>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</si>
  <si>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</si>
  <si>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</si>
  <si>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</si>
  <si>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</si>
  <si>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</si>
  <si>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</si>
  <si>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</si>
  <si>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</si>
  <si>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</si>
  <si>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</si>
  <si>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</si>
  <si>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</si>
  <si>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</si>
  <si>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</si>
  <si>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</si>
  <si>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</si>
  <si>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</si>
  <si>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</si>
  <si>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</si>
  <si>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</si>
  <si>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</si>
  <si>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</si>
  <si>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</si>
  <si>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</si>
  <si>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</si>
  <si>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</si>
  <si>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</si>
  <si>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</si>
  <si>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</si>
  <si>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</si>
  <si>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</si>
  <si>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</si>
  <si>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</si>
  <si>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</si>
  <si>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</si>
  <si>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</si>
  <si>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</si>
  <si>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</si>
  <si>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</si>
  <si>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</si>
  <si>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</si>
  <si>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</si>
  <si>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</si>
  <si>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</si>
  <si>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</si>
  <si>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</si>
  <si>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</si>
  <si>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</si>
  <si>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</si>
  <si>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</si>
  <si>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</si>
  <si>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</si>
  <si>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</si>
  <si>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</si>
  <si>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</si>
  <si>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</si>
  <si>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</si>
  <si>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</si>
  <si>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</si>
  <si>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</si>
  <si>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</si>
  <si>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</si>
  <si>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</si>
  <si>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</si>
  <si>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</si>
  <si>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</si>
  <si>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</si>
  <si>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</si>
  <si>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</si>
  <si>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</si>
  <si>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</si>
  <si>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</si>
  <si>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</si>
  <si>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</si>
  <si>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</si>
  <si>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</si>
  <si>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</si>
  <si>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</si>
  <si>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</si>
  <si>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</si>
  <si>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</si>
  <si>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</si>
  <si>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</si>
  <si>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</si>
  <si>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</si>
  <si>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</si>
  <si>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</si>
  <si>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</si>
  <si>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</si>
  <si>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</si>
  <si>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</si>
  <si>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</si>
  <si>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</si>
  <si>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</si>
  <si>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</si>
  <si>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</si>
  <si>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</si>
  <si>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</si>
  <si>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</si>
  <si>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</si>
  <si>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</si>
  <si>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</si>
  <si>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</si>
  <si>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</si>
  <si>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</si>
  <si>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</si>
  <si>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</si>
  <si>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</si>
  <si>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</si>
  <si>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</si>
  <si>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</si>
  <si>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</si>
  <si>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</si>
  <si>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</si>
  <si>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</si>
  <si>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</si>
  <si>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</si>
  <si>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</si>
  <si>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</si>
  <si>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</si>
  <si>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</si>
  <si>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</si>
  <si>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</si>
  <si>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</si>
  <si>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</si>
  <si>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</si>
  <si>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</si>
  <si>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</si>
  <si>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</si>
  <si>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</si>
  <si>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</si>
  <si>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</si>
  <si>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</si>
  <si>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</si>
  <si>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</si>
  <si>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</si>
  <si>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</si>
  <si>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</si>
  <si>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</si>
  <si>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</si>
  <si>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</si>
  <si>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</si>
  <si>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</si>
  <si>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</si>
  <si>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</si>
  <si>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</si>
  <si>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</si>
  <si>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</si>
  <si>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</si>
  <si>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</si>
  <si>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</si>
  <si>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</si>
  <si>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</si>
  <si>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</si>
  <si>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</si>
  <si>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</si>
  <si>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</si>
  <si>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</si>
  <si>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</si>
  <si>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</si>
  <si>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</si>
  <si>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</si>
  <si>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</si>
  <si>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</si>
  <si>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</si>
  <si>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</si>
  <si>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</si>
  <si>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</si>
  <si>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</si>
  <si>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</si>
  <si>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</si>
  <si>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</si>
  <si>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</si>
  <si>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</si>
  <si>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</si>
  <si>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</si>
  <si>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</si>
  <si>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</si>
  <si>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</si>
  <si>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</si>
  <si>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</si>
  <si>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</si>
  <si>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</si>
  <si>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</si>
  <si>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</si>
  <si>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</si>
  <si>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</si>
  <si>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</si>
  <si>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</si>
  <si>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</si>
  <si>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</si>
  <si>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</si>
  <si>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</si>
  <si>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</si>
  <si>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</si>
  <si>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</si>
  <si>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</si>
  <si>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</si>
  <si>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</si>
  <si>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</si>
  <si>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</si>
  <si>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</si>
  <si>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</si>
  <si>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</si>
  <si>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</si>
  <si>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</si>
  <si>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</si>
  <si>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</si>
  <si>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</si>
  <si>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</si>
  <si>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</si>
  <si>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</si>
  <si>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</si>
  <si>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</si>
  <si>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</si>
  <si>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</si>
  <si>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</si>
  <si>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</si>
  <si>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</si>
  <si>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</si>
  <si>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</si>
  <si>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</si>
  <si>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</si>
  <si>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</si>
  <si>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</si>
  <si>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</si>
  <si>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</si>
  <si>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</si>
  <si>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</si>
  <si>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</si>
  <si>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</si>
  <si>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</si>
  <si>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</si>
  <si>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</si>
  <si>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</si>
  <si>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</si>
  <si>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</si>
  <si>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</si>
  <si>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</si>
  <si>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</si>
  <si>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</si>
  <si>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</si>
  <si>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</si>
  <si>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</si>
  <si>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</si>
  <si>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</si>
  <si>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</si>
  <si>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</si>
  <si>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</si>
  <si>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</si>
  <si>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</si>
  <si>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</si>
  <si>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</si>
  <si>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</si>
  <si>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</si>
  <si>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</si>
  <si>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</si>
  <si>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</si>
  <si>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</si>
  <si>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</si>
  <si>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</si>
  <si>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</si>
  <si>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</si>
  <si>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</si>
  <si>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</si>
  <si>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</si>
  <si>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</si>
  <si>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</si>
  <si>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</si>
  <si>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</si>
  <si>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</si>
  <si>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</si>
  <si>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</si>
  <si>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</si>
  <si>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</si>
  <si>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</si>
  <si>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</si>
  <si>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</si>
  <si>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</si>
  <si>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</si>
  <si>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</si>
  <si>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</si>
  <si>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</si>
  <si>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</si>
  <si>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</si>
  <si>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</si>
  <si>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</si>
  <si>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</si>
  <si>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</si>
  <si>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</si>
  <si>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</si>
  <si>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</si>
  <si>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</si>
  <si>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</si>
  <si>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</si>
  <si>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</si>
  <si>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</si>
  <si>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</si>
  <si>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</si>
  <si>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</si>
  <si>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</si>
  <si>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</si>
  <si>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</si>
  <si>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</si>
  <si>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</si>
  <si>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</si>
  <si>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</si>
  <si>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</si>
  <si>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</si>
  <si>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</si>
  <si>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</si>
  <si>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</si>
  <si>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</si>
  <si>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</si>
  <si>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</si>
  <si>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</si>
  <si>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</si>
  <si>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</si>
  <si>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</si>
  <si>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</si>
  <si>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</si>
  <si>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</si>
  <si>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</si>
  <si>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</si>
  <si>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</si>
  <si>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</si>
  <si>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</si>
  <si>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</si>
  <si>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</si>
  <si>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</si>
  <si>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</si>
  <si>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</si>
  <si>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</si>
  <si>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</si>
  <si>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</si>
  <si>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</si>
  <si>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</si>
  <si>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</si>
  <si>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</si>
  <si>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</si>
  <si>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</si>
  <si>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</si>
  <si>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</si>
  <si>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</si>
  <si>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</si>
  <si>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</si>
  <si>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</si>
  <si>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</si>
  <si>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</si>
  <si>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</si>
  <si>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</si>
  <si>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</si>
  <si>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</si>
  <si>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</si>
  <si>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</si>
  <si>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</si>
  <si>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</si>
  <si>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</si>
  <si>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</si>
  <si>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</si>
  <si>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</si>
  <si>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</si>
  <si>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</si>
  <si>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</si>
  <si>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</si>
  <si>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</si>
  <si>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</si>
  <si>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</si>
  <si>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</si>
  <si>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</si>
  <si>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</si>
  <si>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</si>
  <si>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</si>
  <si>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</si>
  <si>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</si>
  <si>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</si>
  <si>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</si>
  <si>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</si>
  <si>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</si>
  <si>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</si>
  <si>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</si>
  <si>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</si>
  <si>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</si>
  <si>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</si>
  <si>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</si>
  <si>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</si>
  <si>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</si>
  <si>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</si>
  <si>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</si>
  <si>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</si>
  <si>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</si>
  <si>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</si>
  <si>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</si>
  <si>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</si>
  <si>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</si>
  <si>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</si>
  <si>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</si>
  <si>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</si>
  <si>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</si>
  <si>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</si>
  <si>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</si>
  <si>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</si>
  <si>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</si>
  <si>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</si>
  <si>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</si>
  <si>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</si>
  <si>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</si>
  <si>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</si>
  <si>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</si>
  <si>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</si>
  <si>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</si>
  <si>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</si>
  <si>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</si>
  <si>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</si>
  <si>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</si>
  <si>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</si>
  <si>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</si>
  <si>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</si>
  <si>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</si>
  <si>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</si>
  <si>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</si>
  <si>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</si>
  <si>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</si>
  <si>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</si>
  <si>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</si>
  <si>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</si>
  <si>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</si>
  <si>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</si>
  <si>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</si>
  <si>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</si>
  <si>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</si>
  <si>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</si>
  <si>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</si>
  <si>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</si>
  <si>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</si>
  <si>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</si>
  <si>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</si>
  <si>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</si>
  <si>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</si>
  <si>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</si>
  <si>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</si>
  <si>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</si>
  <si>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</si>
  <si>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</si>
  <si>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</si>
  <si>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</si>
  <si>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</si>
  <si>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</si>
  <si>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</si>
  <si>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</si>
  <si>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</si>
  <si>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</si>
  <si>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</si>
  <si>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</si>
  <si>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</si>
  <si>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</si>
  <si>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</si>
  <si>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</si>
  <si>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</si>
  <si>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</si>
  <si>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</si>
  <si>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</si>
  <si>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</si>
  <si>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</si>
  <si>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</si>
  <si>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</si>
  <si>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</si>
  <si>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</si>
  <si>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</si>
  <si>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</si>
  <si>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</si>
  <si>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</si>
  <si>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</si>
  <si>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</si>
  <si>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</si>
  <si>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</si>
  <si>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</si>
  <si>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</si>
  <si>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</si>
  <si>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</si>
  <si>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</si>
  <si>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</si>
  <si>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</si>
  <si>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</si>
  <si>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</si>
  <si>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</si>
  <si>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</si>
  <si>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</si>
  <si>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</si>
  <si>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</si>
  <si>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</si>
  <si>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</si>
  <si>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</si>
  <si>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</si>
  <si>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</si>
  <si>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</si>
  <si>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</si>
  <si>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</si>
  <si>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</si>
  <si>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</si>
  <si>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</si>
  <si>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</si>
  <si>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</si>
  <si>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</si>
  <si>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</si>
  <si>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</si>
  <si>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</si>
  <si>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</si>
  <si>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</si>
  <si>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</si>
  <si>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</si>
  <si>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</si>
  <si>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</si>
  <si>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</si>
  <si>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</si>
  <si>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</si>
  <si>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</si>
  <si>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</si>
  <si>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</si>
  <si>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</si>
  <si>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</si>
  <si>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</si>
  <si>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</si>
  <si>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</si>
  <si>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</si>
  <si>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</si>
  <si>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</si>
  <si>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</si>
  <si>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</si>
  <si>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</si>
  <si>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</si>
  <si>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</si>
  <si>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</si>
  <si>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</si>
  <si>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</si>
  <si>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</si>
  <si>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</si>
  <si>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</si>
  <si>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</si>
  <si>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</si>
  <si>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</si>
  <si>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</si>
  <si>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</si>
  <si>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</si>
  <si>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</si>
  <si>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</si>
  <si>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</si>
  <si>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</si>
  <si>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</si>
  <si>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</si>
  <si>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</si>
  <si>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</si>
  <si>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</si>
  <si>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</si>
  <si>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</si>
  <si>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</si>
  <si>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</si>
  <si>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</si>
  <si>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</si>
  <si>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</si>
  <si>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</si>
  <si>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</si>
  <si>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</si>
  <si>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</si>
  <si>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</si>
  <si>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</si>
  <si>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</si>
  <si>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</si>
  <si>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</si>
  <si>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</si>
  <si>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</si>
  <si>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</si>
  <si>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</si>
  <si>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</si>
  <si>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</si>
  <si>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</si>
  <si>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</si>
  <si>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</si>
  <si>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</si>
  <si>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</si>
  <si>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</si>
  <si>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</si>
  <si>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</si>
  <si>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</si>
  <si>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</si>
  <si>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</si>
  <si>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</si>
  <si>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</si>
  <si>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</si>
  <si>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</si>
  <si>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</si>
  <si>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</si>
  <si>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</si>
  <si>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</si>
  <si>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</si>
  <si>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</si>
  <si>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</si>
  <si>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</si>
  <si>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</si>
  <si>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</si>
  <si>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</si>
  <si>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</si>
  <si>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</si>
  <si>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</si>
  <si>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</si>
  <si>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</si>
  <si>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</si>
  <si>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</si>
  <si>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</si>
  <si>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</si>
  <si>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</si>
  <si>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</si>
  <si>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</si>
  <si>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</si>
  <si>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</si>
  <si>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</si>
  <si>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</si>
  <si>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</si>
  <si>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</si>
  <si>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</si>
  <si>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</si>
  <si>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</si>
  <si>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</si>
  <si>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</si>
  <si>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</si>
  <si>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</si>
  <si>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</si>
  <si>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</si>
  <si>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</si>
  <si>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</si>
  <si>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</si>
  <si>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</si>
  <si>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</si>
  <si>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</si>
  <si>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</si>
  <si>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</si>
  <si>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</si>
  <si>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</si>
  <si>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</si>
  <si>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</si>
  <si>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</si>
  <si>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</si>
  <si>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</si>
  <si>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</si>
  <si>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</si>
  <si>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</si>
  <si>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</si>
  <si>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</si>
  <si>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</si>
  <si>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</si>
  <si>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</si>
  <si>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</si>
  <si>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</si>
  <si>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</si>
  <si>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</si>
  <si>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</si>
  <si>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</si>
  <si>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</si>
  <si>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</si>
  <si>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</si>
  <si>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</si>
  <si>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</si>
  <si>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</si>
  <si>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</si>
  <si>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</si>
  <si>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</si>
  <si>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</si>
  <si>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</si>
  <si>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</si>
  <si>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</si>
  <si>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</si>
  <si>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</si>
  <si>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</si>
  <si>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</si>
  <si>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</si>
  <si>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</si>
  <si>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</si>
  <si>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</si>
  <si>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</si>
  <si>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</si>
  <si>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</si>
  <si>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</si>
  <si>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</si>
  <si>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</si>
  <si>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</si>
  <si>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</si>
  <si>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</si>
  <si>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</si>
  <si>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</si>
  <si>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</si>
  <si>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</si>
  <si>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</si>
  <si>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</si>
  <si>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</si>
  <si>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</si>
  <si>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</si>
  <si>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</si>
  <si>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</si>
  <si>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</si>
  <si>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</si>
  <si>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</si>
  <si>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</si>
  <si>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</si>
  <si>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</si>
  <si>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</si>
  <si>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</si>
  <si>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</si>
  <si>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</si>
  <si>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</si>
  <si>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</si>
  <si>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</si>
  <si>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</si>
  <si>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</si>
  <si>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</si>
  <si>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</si>
  <si>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</si>
  <si>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</si>
  <si>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</si>
  <si>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</si>
  <si>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</si>
  <si>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</si>
  <si>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</si>
  <si>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</si>
  <si>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</si>
  <si>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</si>
  <si>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</si>
  <si>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</si>
  <si>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</si>
  <si>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</si>
  <si>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</si>
  <si>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</si>
  <si>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</si>
  <si>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</si>
  <si>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</si>
  <si>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</si>
  <si>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</si>
  <si>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</si>
  <si>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</si>
  <si>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</si>
  <si>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</si>
  <si>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</si>
  <si>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</si>
  <si>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</si>
  <si>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</si>
  <si>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</si>
  <si>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</si>
  <si>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</si>
  <si>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</si>
  <si>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</si>
  <si>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</si>
  <si>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</si>
  <si>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</si>
  <si>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</si>
  <si>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</si>
  <si>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</si>
  <si>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</si>
  <si>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</si>
  <si>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</si>
  <si>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</si>
  <si>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</si>
  <si>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</si>
  <si>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</si>
  <si>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</si>
  <si>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</si>
  <si>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</si>
  <si>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</si>
  <si>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</si>
  <si>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</si>
  <si>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</si>
  <si>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</si>
  <si>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</si>
  <si>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</si>
  <si>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</si>
  <si>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</si>
  <si>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</si>
  <si>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</si>
  <si>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</si>
  <si>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</si>
  <si>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</si>
  <si>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</si>
  <si>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</si>
  <si>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</si>
  <si>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</si>
  <si>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</si>
  <si>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</si>
  <si>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</si>
  <si>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</si>
  <si>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</si>
  <si>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</si>
  <si>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</si>
  <si>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</si>
  <si>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</si>
  <si>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</si>
  <si>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</si>
  <si>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</si>
  <si>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</si>
  <si>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</si>
  <si>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</si>
  <si>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</si>
  <si>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</si>
  <si>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</si>
  <si>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</si>
  <si>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</si>
  <si>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</si>
  <si>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</si>
  <si>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</si>
  <si>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</si>
  <si>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</si>
  <si>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</si>
  <si>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</si>
  <si>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</si>
  <si>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</si>
  <si>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</si>
  <si>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</si>
  <si>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</si>
  <si>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</si>
  <si>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</si>
  <si>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</si>
  <si>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</si>
  <si>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</si>
  <si>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</si>
  <si>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</si>
  <si>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</si>
  <si>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</si>
  <si>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</si>
  <si>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</si>
  <si>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</si>
  <si>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</si>
  <si>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</si>
  <si>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</si>
  <si>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</si>
  <si>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</si>
  <si>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</si>
  <si>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</si>
  <si>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</si>
  <si>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</si>
  <si>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</si>
  <si>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</si>
  <si>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</si>
  <si>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</si>
  <si>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</si>
  <si>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</si>
  <si>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</si>
  <si>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</si>
  <si>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</si>
  <si>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</si>
  <si>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</si>
  <si>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</si>
  <si>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</si>
  <si>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</si>
  <si>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</si>
  <si>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</si>
  <si>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</si>
  <si>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</si>
  <si>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</si>
  <si>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</si>
  <si>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</si>
  <si>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</si>
  <si>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</si>
  <si>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</si>
  <si>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</si>
  <si>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</si>
  <si>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</si>
  <si>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</si>
  <si>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</si>
  <si>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</si>
  <si>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</si>
  <si>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</si>
  <si>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</si>
  <si>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</si>
  <si>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</si>
  <si>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</si>
  <si>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</si>
  <si>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</si>
  <si>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</si>
  <si>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</si>
  <si>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</si>
  <si>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</si>
  <si>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</si>
  <si>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</si>
  <si>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</si>
  <si>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</si>
  <si>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</si>
  <si>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</si>
  <si>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</si>
  <si>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</si>
  <si>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</si>
  <si>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</si>
  <si>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</si>
  <si>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</si>
  <si>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</si>
  <si>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</si>
  <si>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</si>
  <si>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</si>
  <si>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</si>
  <si>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</si>
  <si>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</si>
  <si>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</si>
  <si>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</si>
  <si>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</si>
  <si>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</si>
  <si>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</si>
  <si>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</si>
  <si>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</si>
  <si>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</si>
  <si>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</si>
  <si>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</si>
  <si>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</si>
  <si>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</si>
  <si>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</si>
  <si>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</si>
  <si>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</si>
  <si>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</si>
  <si>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</si>
  <si>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</si>
  <si>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</si>
  <si>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</si>
  <si>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</si>
  <si>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</si>
  <si>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</si>
  <si>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</si>
  <si>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</si>
  <si>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</si>
  <si>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</si>
  <si>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</si>
  <si>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</si>
  <si>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</si>
  <si>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</si>
  <si>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</si>
  <si>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</si>
  <si>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</si>
  <si>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</si>
  <si>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</si>
  <si>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</si>
  <si>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</si>
  <si>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</si>
  <si>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</si>
  <si>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</si>
  <si>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</si>
  <si>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</si>
  <si>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</si>
  <si>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</si>
  <si>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</si>
  <si>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</si>
  <si>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</si>
  <si>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</si>
  <si>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</si>
  <si>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</si>
  <si>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</si>
  <si>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</si>
  <si>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</si>
  <si>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</si>
  <si>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</si>
  <si>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</si>
  <si>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</si>
  <si>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</si>
  <si>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</si>
  <si>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</si>
  <si>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</si>
  <si>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</si>
  <si>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</si>
  <si>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</si>
  <si>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</si>
  <si>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</si>
  <si>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</si>
  <si>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</si>
  <si>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</si>
  <si>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</si>
  <si>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</si>
  <si>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</si>
  <si>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</si>
  <si>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</si>
  <si>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</si>
  <si>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</si>
  <si>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</si>
  <si>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</si>
  <si>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</si>
  <si>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</si>
  <si>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</si>
  <si>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</si>
  <si>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</si>
  <si>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</si>
  <si>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</si>
  <si>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</si>
  <si>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</si>
  <si>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</si>
  <si>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</si>
  <si>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</si>
  <si>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</si>
  <si>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</si>
  <si>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</si>
  <si>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</si>
  <si>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</si>
  <si>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</si>
  <si>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</si>
  <si>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</si>
  <si>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</si>
  <si>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</si>
  <si>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</si>
  <si>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</si>
  <si>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</si>
  <si>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</si>
  <si>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</si>
  <si>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</si>
  <si>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</si>
  <si>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</si>
  <si>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</si>
  <si>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</si>
  <si>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</si>
  <si>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</si>
  <si>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</si>
  <si>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</si>
  <si>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</si>
  <si>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</si>
  <si>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</si>
  <si>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</si>
  <si>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</si>
  <si>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</si>
  <si>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</si>
  <si>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</si>
  <si>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</si>
  <si>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</si>
  <si>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</si>
  <si>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</si>
  <si>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</si>
  <si>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</si>
  <si>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</si>
  <si>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</si>
  <si>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</si>
  <si>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</si>
  <si>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</si>
  <si>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</si>
  <si>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</si>
  <si>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</si>
  <si>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</si>
  <si>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</si>
  <si>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</si>
  <si>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</si>
  <si>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</si>
  <si>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</si>
  <si>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</si>
  <si>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</si>
  <si>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</si>
  <si>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</si>
  <si>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</si>
  <si>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</si>
  <si>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</si>
  <si>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</si>
  <si>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</si>
  <si>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</si>
  <si>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</si>
  <si>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</si>
  <si>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</si>
  <si>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</si>
  <si>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</si>
  <si>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</si>
  <si>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</si>
  <si>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</si>
  <si>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</si>
  <si>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</si>
  <si>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</si>
  <si>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</si>
  <si>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</si>
  <si>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</si>
  <si>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</si>
  <si>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</si>
  <si>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</si>
  <si>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</si>
  <si>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</si>
  <si>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</si>
  <si>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</si>
  <si>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</si>
  <si>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</si>
  <si>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</si>
  <si>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</si>
  <si>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</si>
  <si>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</si>
  <si>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</si>
  <si>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</si>
  <si>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</si>
  <si>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</si>
  <si>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</si>
  <si>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</si>
  <si>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</si>
  <si>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</si>
  <si>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</si>
  <si>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</si>
  <si>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</si>
  <si>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</si>
  <si>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</si>
  <si>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</si>
  <si>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</si>
  <si>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</si>
  <si>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</si>
  <si>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</si>
  <si>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</si>
  <si>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</si>
  <si>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</si>
  <si>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</si>
  <si>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</si>
  <si>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</si>
  <si>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</si>
  <si>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</si>
  <si>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</si>
  <si>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</si>
  <si>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</si>
  <si>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</si>
  <si>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</si>
  <si>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</si>
  <si>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</si>
  <si>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</si>
  <si>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</si>
  <si>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</si>
  <si>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</si>
  <si>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</si>
  <si>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</si>
  <si>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</si>
  <si>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</si>
  <si>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</si>
  <si>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</si>
  <si>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</si>
  <si>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</si>
  <si>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</si>
  <si>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</si>
  <si>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</si>
  <si>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</si>
  <si>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</si>
  <si>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</si>
  <si>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</si>
  <si>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</si>
  <si>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</si>
  <si>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</si>
  <si>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</si>
  <si>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</si>
  <si>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</si>
  <si>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</si>
  <si>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</si>
  <si>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</si>
  <si>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</si>
  <si>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</si>
  <si>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</si>
  <si>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</si>
  <si>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</si>
  <si>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</si>
  <si>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</si>
  <si>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</si>
  <si>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</si>
  <si>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</si>
  <si>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</si>
  <si>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</si>
  <si>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</si>
  <si>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</si>
  <si>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</si>
  <si>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</si>
  <si>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</si>
  <si>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</si>
  <si>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</si>
  <si>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</si>
  <si>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</si>
  <si>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</si>
  <si>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</si>
  <si>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</si>
  <si>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</si>
  <si>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</si>
  <si>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</si>
  <si>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</si>
  <si>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</si>
  <si>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</si>
  <si>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</si>
  <si>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</si>
  <si>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</si>
  <si>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</si>
  <si>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</si>
  <si>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</si>
  <si>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</si>
  <si>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</si>
  <si>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</si>
  <si>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</si>
  <si>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</si>
  <si>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</si>
  <si>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</si>
  <si>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</si>
  <si>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</si>
  <si>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</si>
  <si>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</si>
  <si>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</si>
  <si>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</si>
  <si>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</si>
  <si>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</si>
  <si>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</si>
  <si>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</si>
  <si>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</si>
  <si>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</si>
  <si>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</si>
  <si>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</si>
  <si>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</si>
  <si>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</si>
  <si>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</si>
  <si>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</si>
  <si>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</si>
  <si>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</si>
  <si>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</si>
  <si>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</si>
  <si>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</si>
  <si>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</si>
  <si>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</si>
  <si>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</si>
  <si>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</si>
  <si>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</si>
  <si>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</si>
  <si>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</si>
  <si>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</si>
  <si>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</si>
  <si>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</si>
  <si>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</si>
  <si>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</si>
  <si>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</si>
  <si>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</si>
  <si>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</si>
  <si>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</si>
  <si>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</si>
  <si>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</si>
  <si>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</si>
  <si>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</si>
  <si>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</si>
  <si>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</si>
  <si>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</si>
  <si>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</si>
  <si>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</si>
  <si>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</si>
  <si>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</si>
  <si>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</si>
  <si>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</si>
  <si>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</si>
  <si>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</si>
  <si>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</si>
  <si>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</si>
  <si>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</si>
  <si>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</si>
  <si>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</si>
  <si>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</si>
  <si>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</si>
  <si>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</si>
  <si>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</si>
  <si>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</si>
  <si>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</si>
  <si>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</si>
  <si>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</si>
  <si>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</si>
  <si>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</si>
  <si>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</si>
  <si>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</si>
  <si>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</si>
  <si>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</si>
  <si>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</si>
  <si>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</si>
  <si>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</si>
  <si>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</si>
  <si>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</si>
  <si>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</si>
  <si>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</si>
  <si>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</si>
  <si>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</si>
  <si>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</si>
  <si>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</si>
  <si>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</si>
  <si>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</si>
  <si>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</si>
  <si>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</si>
  <si>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</si>
  <si>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</si>
  <si>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</si>
  <si>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</si>
  <si>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</si>
  <si>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</si>
  <si>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</si>
  <si>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</si>
  <si>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</si>
  <si>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</si>
  <si>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</si>
  <si>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</si>
  <si>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</si>
  <si>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</si>
  <si>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</si>
  <si>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</si>
  <si>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</si>
  <si>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</si>
  <si>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</si>
  <si>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</si>
  <si>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</si>
  <si>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</si>
  <si>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</si>
  <si>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</si>
  <si>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</si>
  <si>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</si>
  <si>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</si>
  <si>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</si>
  <si>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</si>
  <si>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</si>
  <si>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</si>
  <si>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</si>
  <si>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</si>
  <si>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</si>
  <si>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</si>
  <si>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</si>
  <si>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</si>
  <si>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</si>
  <si>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</si>
  <si>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</si>
  <si>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</si>
  <si>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</si>
  <si>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</si>
  <si>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</si>
  <si>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</si>
  <si>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</si>
  <si>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</si>
  <si>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</si>
  <si>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</si>
  <si>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</si>
  <si>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</si>
  <si>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</si>
  <si>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</si>
  <si>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</si>
  <si>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</si>
  <si>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</si>
  <si>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</si>
  <si>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</si>
  <si>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</si>
  <si>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</si>
  <si>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</si>
  <si>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</si>
  <si>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</si>
  <si>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</si>
  <si>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</si>
  <si>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</si>
  <si>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</si>
  <si>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</si>
  <si>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</si>
  <si>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</si>
  <si>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</si>
  <si>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</si>
  <si>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</si>
  <si>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</si>
  <si>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</si>
  <si>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</si>
  <si>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</si>
  <si>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</si>
  <si>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</si>
  <si>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</si>
  <si>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</si>
  <si>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</si>
  <si>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</si>
  <si>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</si>
  <si>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</si>
  <si>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</si>
  <si>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</si>
  <si>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</si>
  <si>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</si>
  <si>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</si>
  <si>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</si>
  <si>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</si>
  <si>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</si>
  <si>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</si>
  <si>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</si>
  <si>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</si>
  <si>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</si>
  <si>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</si>
  <si>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</si>
  <si>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</si>
  <si>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</si>
  <si>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</si>
  <si>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</si>
  <si>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</si>
  <si>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</si>
  <si>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</si>
  <si>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</si>
  <si>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</si>
  <si>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</si>
  <si>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</si>
  <si>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</si>
  <si>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</si>
  <si>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</si>
  <si>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</si>
  <si>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</si>
  <si>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</si>
  <si>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</si>
  <si>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</si>
  <si>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</si>
  <si>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</si>
  <si>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</si>
  <si>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</si>
  <si>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</si>
  <si>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</si>
  <si>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</si>
  <si>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</si>
  <si>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</si>
  <si>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</si>
  <si>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</si>
  <si>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</si>
  <si>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</si>
  <si>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</si>
  <si>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</si>
  <si>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</si>
  <si>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</si>
  <si>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</si>
  <si>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</si>
  <si>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</si>
  <si>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</si>
  <si>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</si>
  <si>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</si>
  <si>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</si>
  <si>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</si>
  <si>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</si>
  <si>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</si>
  <si>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</si>
  <si>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</si>
  <si>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</si>
  <si>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</si>
  <si>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</si>
  <si>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</si>
  <si>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</si>
  <si>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</si>
  <si>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</si>
  <si>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</si>
  <si>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</si>
  <si>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</si>
  <si>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</si>
  <si>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</si>
  <si>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</si>
  <si>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</si>
  <si>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</si>
  <si>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</si>
  <si>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</si>
  <si>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</si>
  <si>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</si>
  <si>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</si>
  <si>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</si>
  <si>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</si>
  <si>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</si>
  <si>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</si>
  <si>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</si>
  <si>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</si>
  <si>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</si>
  <si>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</si>
  <si>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</si>
  <si>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</si>
  <si>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</si>
  <si>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</si>
  <si>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</si>
  <si>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</si>
  <si>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</si>
  <si>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</si>
  <si>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</si>
  <si>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</si>
  <si>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</si>
  <si>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</si>
  <si>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</si>
  <si>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</si>
  <si>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</si>
  <si>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</si>
  <si>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</si>
  <si>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</si>
  <si>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</si>
  <si>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</si>
  <si>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</si>
  <si>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</si>
  <si>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</si>
  <si>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</si>
  <si>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</si>
  <si>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</si>
  <si>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</si>
  <si>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</si>
  <si>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</si>
  <si>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</si>
  <si>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</si>
  <si>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</si>
  <si>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</si>
  <si>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</si>
  <si>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</si>
  <si>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</si>
  <si>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</si>
  <si>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</si>
  <si>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</si>
  <si>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</si>
  <si>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</si>
  <si>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</si>
  <si>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</si>
  <si>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</si>
  <si>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</si>
  <si>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</si>
  <si>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</si>
  <si>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</si>
  <si>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</si>
  <si>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</si>
  <si>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</si>
  <si>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</si>
  <si>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</si>
  <si>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</si>
  <si>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</si>
  <si>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</si>
  <si>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</si>
  <si>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</si>
  <si>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</si>
  <si>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</si>
  <si>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</si>
  <si>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</si>
  <si>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</si>
  <si>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</si>
  <si>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</si>
  <si>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</si>
  <si>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Avg. Rating</t>
  </si>
  <si>
    <t>Orders</t>
  </si>
  <si>
    <t>Row Labels</t>
  </si>
  <si>
    <t>Grand Total</t>
  </si>
  <si>
    <t>Count of TX ID</t>
  </si>
  <si>
    <t>Sum of Quantity</t>
  </si>
  <si>
    <t>Sum of Amount</t>
  </si>
  <si>
    <t>Average of Rating C</t>
  </si>
  <si>
    <t>Average of Days to Deliver</t>
  </si>
  <si>
    <t>Values for Display</t>
  </si>
  <si>
    <t>Qty</t>
  </si>
  <si>
    <t>Avg. Days</t>
  </si>
  <si>
    <t>Column Labels</t>
  </si>
  <si>
    <t>Female</t>
  </si>
  <si>
    <t>Male</t>
  </si>
  <si>
    <t>Other</t>
  </si>
  <si>
    <t>Unknown</t>
  </si>
  <si>
    <t>For Matrix</t>
  </si>
  <si>
    <t>Fe</t>
  </si>
  <si>
    <t>Oth</t>
  </si>
  <si>
    <t>Unk</t>
  </si>
  <si>
    <t>6 TO 10</t>
  </si>
  <si>
    <t>More Than 10</t>
  </si>
  <si>
    <t>Months (Order Date)</t>
  </si>
  <si>
    <t>Jan</t>
  </si>
  <si>
    <t>Feb</t>
  </si>
  <si>
    <t>Mar</t>
  </si>
  <si>
    <t>Order Qty Analysis</t>
  </si>
  <si>
    <t>Product by Qty</t>
  </si>
  <si>
    <t>Last 13 week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</si>
</sst>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1" x14ac:knownFonts="1">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1">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Font="1"/>
    <xf numFmtId="10" fontId="0" fillId="0" borderId="0" xfId="0" applyNumberFormat="1" applyFont="1" applyAlignment="1">
      <alignment horizontal="center" vertical="center"/>
    </xf>
    <xf numFmtId="165" fontId="0" fillId="0" borderId="0" xfId="0" applyNumberFormat="1" applyFont="1" applyAlignment="1">
      <alignment horizontal="center" vertical="center"/>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074108"/>
      <color rgb="FFE8F1FB"/>
      <color rgb="FFF5F6FA"/>
      <color rgb="FF0638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 Trends - Qty &amp;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5"/>
        <c:spPr>
          <a:ln w="28575" cap="rnd">
            <a:solidFill>
              <a:schemeClr val="accent6"/>
            </a:solidFill>
            <a:round/>
          </a:ln>
          <a:effectLst/>
        </c:spPr>
        <c:marker>
          <c:symbol val="none"/>
        </c:marker>
      </c:pivotFmt>
    </c:pivotFmts>
    <c:plotArea>
      <c:layout>
        <c:manualLayout>
          <c:layoutTarget val="inner"/>
          <c:xMode val="edge"/>
          <c:yMode val="edge"/>
          <c:x val="9.4580927384076988E-2"/>
          <c:y val="0.13017716535433072"/>
          <c:w val="0.78456036745406821"/>
          <c:h val="0.78594196558763485"/>
        </c:manualLayout>
      </c:layout>
      <c:lineChart>
        <c:grouping val="standard"/>
        <c:varyColors val="0"/>
        <c:ser>
          <c:idx val="0"/>
          <c:order val="0"/>
          <c:tx>
            <c:strRef>
              <c:f>Pivots!$B$9</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FA38-4215-8FE0-F7D4ACA174E9}"/>
            </c:ext>
          </c:extLst>
        </c:ser>
        <c:dLbls>
          <c:showLegendKey val="0"/>
          <c:showVal val="0"/>
          <c:showCatName val="0"/>
          <c:showSerName val="0"/>
          <c:showPercent val="0"/>
          <c:showBubbleSize val="0"/>
        </c:dLbls>
        <c:marker val="1"/>
        <c:smooth val="0"/>
        <c:axId val="258190208"/>
        <c:axId val="258190688"/>
      </c:lineChart>
      <c:lineChart>
        <c:grouping val="standard"/>
        <c:varyColors val="0"/>
        <c:ser>
          <c:idx val="1"/>
          <c:order val="1"/>
          <c:tx>
            <c:strRef>
              <c:f>Pivots!$C$9</c:f>
              <c:strCache>
                <c:ptCount val="1"/>
                <c:pt idx="0">
                  <c:v>Sum of Amount</c:v>
                </c:pt>
              </c:strCache>
            </c:strRef>
          </c:tx>
          <c:spPr>
            <a:ln w="28575" cap="rnd">
              <a:solidFill>
                <a:schemeClr val="accent5"/>
              </a:solidFill>
              <a:round/>
            </a:ln>
            <a:effectLst/>
          </c:spPr>
          <c:marker>
            <c:symbol val="none"/>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A38-4215-8FE0-F7D4ACA174E9}"/>
            </c:ext>
          </c:extLst>
        </c:ser>
        <c:dLbls>
          <c:showLegendKey val="0"/>
          <c:showVal val="0"/>
          <c:showCatName val="0"/>
          <c:showSerName val="0"/>
          <c:showPercent val="0"/>
          <c:showBubbleSize val="0"/>
        </c:dLbls>
        <c:marker val="1"/>
        <c:smooth val="0"/>
        <c:axId val="258193088"/>
        <c:axId val="258192608"/>
      </c:lineChart>
      <c:catAx>
        <c:axId val="25819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8190688"/>
        <c:crosses val="autoZero"/>
        <c:auto val="1"/>
        <c:lblAlgn val="ctr"/>
        <c:lblOffset val="100"/>
        <c:noMultiLvlLbl val="0"/>
      </c:catAx>
      <c:valAx>
        <c:axId val="258190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8190208"/>
        <c:crosses val="autoZero"/>
        <c:crossBetween val="between"/>
      </c:valAx>
      <c:valAx>
        <c:axId val="258192608"/>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8193088"/>
        <c:crosses val="max"/>
        <c:crossBetween val="between"/>
      </c:valAx>
      <c:catAx>
        <c:axId val="258193088"/>
        <c:scaling>
          <c:orientation val="minMax"/>
        </c:scaling>
        <c:delete val="1"/>
        <c:axPos val="t"/>
        <c:numFmt formatCode="General" sourceLinked="1"/>
        <c:majorTickMark val="out"/>
        <c:minorTickMark val="none"/>
        <c:tickLblPos val="nextTo"/>
        <c:crossAx val="25819260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[ecommerce-blank.xlsx]Pivots2!pvtQty</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Order Quantity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Pivots2!$A$4:$A$11</c:f>
              <c:strCache>
                <c:ptCount val="7"/>
                <c:pt idx="0">
                  <c:v>1</c:v>
                </c:pt>
                <c:pt idx="1">
                  <c:v>2</c:v>
                </c:pt>
                <c:pt idx="2">
                  <c:v>3</c:v>
                </c:pt>
                <c:pt idx="3">
                  <c:v>4</c:v>
                </c:pt>
                <c:pt idx="4">
                  <c:v>5</c:v>
                </c:pt>
                <c:pt idx="5">
                  <c:v>6 TO 10</c:v>
                </c:pt>
                <c:pt idx="6">
                  <c:v>More Than 10</c:v>
                </c:pt>
              </c:strCache>
            </c:strRef>
          </c:cat>
          <c:val>
            <c:numRef>
              <c:f>Pivots2!$B$4:$B$11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93C-4E49-A352-99910E55AD9B}"/>
            </c:ext>
          </c:extLst>
        </c:ser>
        <c:dLbls>
          <c:dLblPos val="outEnd"/>
          <c:showLegendKey val="0"/>
          <c:showVal val="1"/>
          <c:showCatName val="0"/>
          <c:showSerName val="0"/>
          <c:showPercent val="0"/>
          <c:showBubbleSize val="0"/>
        </c:dLbls>
        <c:gapWidth val="100"/>
        <c:overlap val="-24"/>
        <c:axId val="328501151"/>
        <c:axId val="328501631"/>
      </c:barChart>
      <c:catAx>
        <c:axId val="3285011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01631"/>
        <c:crosses val="autoZero"/>
        <c:auto val="1"/>
        <c:lblAlgn val="ctr"/>
        <c:lblOffset val="100"/>
        <c:noMultiLvlLbl val="0"/>
      </c:catAx>
      <c:valAx>
        <c:axId val="328501631"/>
        <c:scaling>
          <c:orientation val="minMax"/>
        </c:scaling>
        <c:delete val="1"/>
        <c:axPos val="l"/>
        <c:numFmt formatCode="General" sourceLinked="1"/>
        <c:majorTickMark val="none"/>
        <c:minorTickMark val="none"/>
        <c:tickLblPos val="nextTo"/>
        <c:crossAx val="32850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[ecommerce-blank.xlsx]Pivots2!pvtProduct</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Which Products are Popular? Breakdown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Pivots2!$E$5:$E$6</c:f>
              <c:strCache>
                <c:ptCount val="1"/>
                <c:pt idx="0">
                  <c:v>Female</c:v>
                </c:pt>
              </c:strCache>
            </c:strRef>
          </c:tx>
          <c:spPr>
            <a:solidFill>
              <a:schemeClr val="accent2"/>
            </a:solidFill>
            <a:ln>
              <a:noFill/>
            </a:ln>
            <a:effectLst/>
            <a:sp3d/>
          </c:spPr>
          <c:invertIfNegative val="0"/>
          <c:cat>
            <c:strRef>
              <c:f>Pivots2!$D$7:$D$27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Pivots2!$E$7:$E$27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4B18-4883-90F1-FF0967D737BB}"/>
            </c:ext>
          </c:extLst>
        </c:ser>
        <c:ser>
          <c:idx val="1"/>
          <c:order val="1"/>
          <c:tx>
            <c:strRef>
              <c:f>Pivots2!$F$5:$F$6</c:f>
              <c:strCache>
                <c:ptCount val="1"/>
                <c:pt idx="0">
                  <c:v>Male</c:v>
                </c:pt>
              </c:strCache>
            </c:strRef>
          </c:tx>
          <c:spPr>
            <a:solidFill>
              <a:schemeClr val="accent4"/>
            </a:solidFill>
            <a:ln>
              <a:noFill/>
            </a:ln>
            <a:effectLst/>
            <a:sp3d/>
          </c:spPr>
          <c:invertIfNegative val="0"/>
          <c:cat>
            <c:strRef>
              <c:f>Pivots2!$D$7:$D$27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Pivots2!$F$7:$F$27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4B18-4883-90F1-FF0967D737BB}"/>
            </c:ext>
          </c:extLst>
        </c:ser>
        <c:ser>
          <c:idx val="2"/>
          <c:order val="2"/>
          <c:tx>
            <c:strRef>
              <c:f>Pivots2!$G$5:$G$6</c:f>
              <c:strCache>
                <c:ptCount val="1"/>
                <c:pt idx="0">
                  <c:v>Other</c:v>
                </c:pt>
              </c:strCache>
            </c:strRef>
          </c:tx>
          <c:spPr>
            <a:solidFill>
              <a:schemeClr val="accent6"/>
            </a:solidFill>
            <a:ln>
              <a:noFill/>
            </a:ln>
            <a:effectLst/>
            <a:sp3d/>
          </c:spPr>
          <c:invertIfNegative val="0"/>
          <c:cat>
            <c:strRef>
              <c:f>Pivots2!$D$7:$D$27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Pivots2!$G$7:$G$27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4B18-4883-90F1-FF0967D737BB}"/>
            </c:ext>
          </c:extLst>
        </c:ser>
        <c:ser>
          <c:idx val="3"/>
          <c:order val="3"/>
          <c:tx>
            <c:strRef>
              <c:f>Pivots2!$H$5:$H$6</c:f>
              <c:strCache>
                <c:ptCount val="1"/>
                <c:pt idx="0">
                  <c:v>Unknown</c:v>
                </c:pt>
              </c:strCache>
            </c:strRef>
          </c:tx>
          <c:spPr>
            <a:solidFill>
              <a:schemeClr val="accent2">
                <a:lumMod val="60000"/>
              </a:schemeClr>
            </a:solidFill>
            <a:ln>
              <a:noFill/>
            </a:ln>
            <a:effectLst/>
            <a:sp3d/>
          </c:spPr>
          <c:invertIfNegative val="0"/>
          <c:cat>
            <c:strRef>
              <c:f>Pivots2!$D$7:$D$27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Pivots2!$H$7:$H$27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4B18-4883-90F1-FF0967D737BB}"/>
            </c:ext>
          </c:extLst>
        </c:ser>
        <c:dLbls>
          <c:showLegendKey val="0"/>
          <c:showVal val="0"/>
          <c:showCatName val="0"/>
          <c:showSerName val="0"/>
          <c:showPercent val="0"/>
          <c:showBubbleSize val="0"/>
        </c:dLbls>
        <c:gapWidth val="150"/>
        <c:shape val="box"/>
        <c:axId val="352497599"/>
        <c:axId val="352501439"/>
        <c:axId val="0"/>
      </c:bar3DChart>
      <c:catAx>
        <c:axId val="352497599"/>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501439"/>
        <c:crosses val="autoZero"/>
        <c:auto val="1"/>
        <c:lblAlgn val="ctr"/>
        <c:lblOffset val="100"/>
        <c:noMultiLvlLbl val="0"/>
      </c:catAx>
      <c:valAx>
        <c:axId val="352501439"/>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49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[ecommerce-blank.xlsx]Pivots2!pvtGender</c:name>
    <c:fmtId val="29"/>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a:glow rad="127000">
                <a:srgbClr val="074108"/>
              </a:glow>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6"/>
          </a:solidFill>
          <a:ln w="19050">
            <a:solidFill>
              <a:schemeClr val="lt1"/>
            </a:solidFill>
          </a:ln>
          <a:effectLst/>
        </c:spPr>
        <c:dLbl>
          <c:idx val="0"/>
          <c:layout>
            <c:manualLayout>
              <c:x val="0.13481541289833837"/>
              <c:y val="0"/>
            </c:manualLayout>
          </c:layout>
          <c:spPr>
            <a:noFill/>
            <a:ln>
              <a:noFill/>
            </a:ln>
            <a:effectLst>
              <a:glow rad="127000">
                <a:srgbClr val="074108"/>
              </a:glow>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6"/>
          </a:solidFill>
          <a:ln w="19050">
            <a:solidFill>
              <a:schemeClr val="lt1"/>
            </a:solidFill>
          </a:ln>
          <a:effectLst/>
        </c:spPr>
        <c:dLbl>
          <c:idx val="0"/>
          <c:layout>
            <c:manualLayout>
              <c:x val="-0.11030351964409503"/>
              <c:y val="0"/>
            </c:manualLayout>
          </c:layout>
          <c:spPr>
            <a:noFill/>
            <a:ln>
              <a:noFill/>
            </a:ln>
            <a:effectLst>
              <a:glow rad="127000">
                <a:srgbClr val="074108"/>
              </a:glow>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6"/>
          </a:solidFill>
          <a:ln w="19050">
            <a:solidFill>
              <a:schemeClr val="lt1"/>
            </a:solidFill>
          </a:ln>
          <a:effectLst/>
        </c:spPr>
        <c:dLbl>
          <c:idx val="0"/>
          <c:layout>
            <c:manualLayout>
              <c:x val="-0.18333344331965107"/>
              <c:y val="-0.10328634933991621"/>
            </c:manualLayout>
          </c:layout>
          <c:spPr>
            <a:noFill/>
            <a:ln>
              <a:noFill/>
            </a:ln>
            <a:effectLst>
              <a:glow rad="127000">
                <a:srgbClr val="074108"/>
              </a:glow>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6"/>
          </a:solidFill>
          <a:ln w="19050">
            <a:solidFill>
              <a:schemeClr val="lt1"/>
            </a:solidFill>
          </a:ln>
          <a:effectLst/>
        </c:spPr>
        <c:dLbl>
          <c:idx val="0"/>
          <c:layout>
            <c:manualLayout>
              <c:x val="0.34316650555940675"/>
              <c:y val="0"/>
            </c:manualLayout>
          </c:layout>
          <c:spPr>
            <a:noFill/>
            <a:ln>
              <a:noFill/>
            </a:ln>
            <a:effectLst>
              <a:glow rad="127000">
                <a:srgbClr val="074108"/>
              </a:glow>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Pivots2!$L$5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D2D-4225-92DD-D0E0BA16E3E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D2D-4225-92DD-D0E0BA16E3E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D2D-4225-92DD-D0E0BA16E3E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D2D-4225-92DD-D0E0BA16E3EB}"/>
              </c:ext>
            </c:extLst>
          </c:dPt>
          <c:dLbls>
            <c:dLbl>
              <c:idx val="0"/>
              <c:layout>
                <c:manualLayout>
                  <c:x val="0.13481541289833837"/>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D2D-4225-92DD-D0E0BA16E3EB}"/>
                </c:ext>
              </c:extLst>
            </c:dLbl>
            <c:dLbl>
              <c:idx val="1"/>
              <c:layout>
                <c:manualLayout>
                  <c:x val="-0.1103035196440950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2D-4225-92DD-D0E0BA16E3EB}"/>
                </c:ext>
              </c:extLst>
            </c:dLbl>
            <c:dLbl>
              <c:idx val="2"/>
              <c:layout>
                <c:manualLayout>
                  <c:x val="-0.18333344331965107"/>
                  <c:y val="-0.1032863493399162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D2D-4225-92DD-D0E0BA16E3EB}"/>
                </c:ext>
              </c:extLst>
            </c:dLbl>
            <c:dLbl>
              <c:idx val="3"/>
              <c:layout>
                <c:manualLayout>
                  <c:x val="0.34316650555940675"/>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D2D-4225-92DD-D0E0BA16E3EB}"/>
                </c:ext>
              </c:extLst>
            </c:dLbl>
            <c:spPr>
              <a:noFill/>
              <a:ln>
                <a:noFill/>
              </a:ln>
              <a:effectLst>
                <a:glow rad="127000">
                  <a:srgbClr val="074108"/>
                </a:glow>
              </a:effectLst>
            </c:spPr>
            <c:txPr>
              <a:bodyPr rot="0" spcFirstLastPara="1" vertOverflow="overflow" horzOverflow="overflow"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Pivots2!$K$6:$K$10</c:f>
              <c:strCache>
                <c:ptCount val="4"/>
                <c:pt idx="0">
                  <c:v>Female</c:v>
                </c:pt>
                <c:pt idx="1">
                  <c:v>Male</c:v>
                </c:pt>
                <c:pt idx="2">
                  <c:v>Other</c:v>
                </c:pt>
                <c:pt idx="3">
                  <c:v>Unknown</c:v>
                </c:pt>
              </c:strCache>
            </c:strRef>
          </c:cat>
          <c:val>
            <c:numRef>
              <c:f>Pivots2!$L$6:$L$10</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D2D-4225-92DD-D0E0BA16E3E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[ecommerce-blank.xlsx]Pivots2!pvtDuration</c:name>
    <c:fmtId val="4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Shipping Time Distribution (Days)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Pivots2!$C$31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Pivots2!$B$32:$B$46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Pivots2!$C$32:$C$46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174-4AFA-8C7B-16797D5B04D1}"/>
            </c:ext>
          </c:extLst>
        </c:ser>
        <c:dLbls>
          <c:dLblPos val="outEnd"/>
          <c:showLegendKey val="0"/>
          <c:showVal val="1"/>
          <c:showCatName val="0"/>
          <c:showSerName val="0"/>
          <c:showPercent val="0"/>
          <c:showBubbleSize val="0"/>
        </c:dLbls>
        <c:gapWidth val="20"/>
        <c:axId val="352526879"/>
        <c:axId val="352514879"/>
      </c:barChart>
      <c:catAx>
        <c:axId val="3525268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514879"/>
        <c:crosses val="autoZero"/>
        <c:auto val="1"/>
        <c:lblAlgn val="ctr"/>
        <c:lblOffset val="100"/>
        <c:noMultiLvlLbl val="0"/>
      </c:catAx>
      <c:valAx>
        <c:axId val="352514879"/>
        <c:scaling>
          <c:orientation val="minMax"/>
        </c:scaling>
        <c:delete val="1"/>
        <c:axPos val="l"/>
        <c:numFmt formatCode="General" sourceLinked="1"/>
        <c:majorTickMark val="out"/>
        <c:minorTickMark val="none"/>
        <c:tickLblPos val="nextTo"/>
        <c:crossAx val="35252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[ecommerce-blank.xlsx]Pivots2!pvtRating</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Pivots2!$G$37:$G$38</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Pivots2!$F$39:$F$41</c:f>
              <c:strCache>
                <c:ptCount val="3"/>
                <c:pt idx="0">
                  <c:v>Jan</c:v>
                </c:pt>
                <c:pt idx="1">
                  <c:v>Feb</c:v>
                </c:pt>
                <c:pt idx="2">
                  <c:v>Mar</c:v>
                </c:pt>
              </c:strCache>
            </c:strRef>
          </c:cat>
          <c:val>
            <c:numRef>
              <c:f>Pivots2!$G$39:$G$41</c:f>
              <c:numCache>
                <c:formatCode>General</c:formatCode>
                <c:ptCount val="3"/>
                <c:pt idx="0">
                  <c:v>7</c:v>
                </c:pt>
                <c:pt idx="1">
                  <c:v>8</c:v>
                </c:pt>
                <c:pt idx="2">
                  <c:v>6</c:v>
                </c:pt>
              </c:numCache>
            </c:numRef>
          </c:val>
          <c:extLst>
            <c:ext xmlns:c16="http://schemas.microsoft.com/office/drawing/2014/chart" uri="{C3380CC4-5D6E-409C-BE32-E72D297353CC}">
              <c16:uniqueId val="{00000000-FA20-4EAC-8767-17C7360FF141}"/>
            </c:ext>
          </c:extLst>
        </c:ser>
        <c:ser>
          <c:idx val="1"/>
          <c:order val="1"/>
          <c:tx>
            <c:strRef>
              <c:f>Pivots2!$H$37:$H$38</c:f>
              <c:strCache>
                <c:ptCount val="1"/>
                <c:pt idx="0">
                  <c:v>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Pivots2!$F$39:$F$41</c:f>
              <c:strCache>
                <c:ptCount val="3"/>
                <c:pt idx="0">
                  <c:v>Jan</c:v>
                </c:pt>
                <c:pt idx="1">
                  <c:v>Feb</c:v>
                </c:pt>
                <c:pt idx="2">
                  <c:v>Mar</c:v>
                </c:pt>
              </c:strCache>
            </c:strRef>
          </c:cat>
          <c:val>
            <c:numRef>
              <c:f>Pivots2!$H$39:$H$41</c:f>
              <c:numCache>
                <c:formatCode>General</c:formatCode>
                <c:ptCount val="3"/>
                <c:pt idx="0">
                  <c:v>37</c:v>
                </c:pt>
                <c:pt idx="1">
                  <c:v>51</c:v>
                </c:pt>
                <c:pt idx="2">
                  <c:v>39</c:v>
                </c:pt>
              </c:numCache>
            </c:numRef>
          </c:val>
          <c:extLst>
            <c:ext xmlns:c16="http://schemas.microsoft.com/office/drawing/2014/chart" uri="{C3380CC4-5D6E-409C-BE32-E72D297353CC}">
              <c16:uniqueId val="{00000001-FA20-4EAC-8767-17C7360FF141}"/>
            </c:ext>
          </c:extLst>
        </c:ser>
        <c:ser>
          <c:idx val="2"/>
          <c:order val="2"/>
          <c:tx>
            <c:strRef>
              <c:f>Pivots2!$I$37:$I$38</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Pivots2!$F$39:$F$41</c:f>
              <c:strCache>
                <c:ptCount val="3"/>
                <c:pt idx="0">
                  <c:v>Jan</c:v>
                </c:pt>
                <c:pt idx="1">
                  <c:v>Feb</c:v>
                </c:pt>
                <c:pt idx="2">
                  <c:v>Mar</c:v>
                </c:pt>
              </c:strCache>
            </c:strRef>
          </c:cat>
          <c:val>
            <c:numRef>
              <c:f>Pivots2!$I$39:$I$41</c:f>
              <c:numCache>
                <c:formatCode>General</c:formatCode>
                <c:ptCount val="3"/>
                <c:pt idx="0">
                  <c:v>150</c:v>
                </c:pt>
                <c:pt idx="1">
                  <c:v>182</c:v>
                </c:pt>
                <c:pt idx="2">
                  <c:v>163</c:v>
                </c:pt>
              </c:numCache>
            </c:numRef>
          </c:val>
          <c:extLst>
            <c:ext xmlns:c16="http://schemas.microsoft.com/office/drawing/2014/chart" uri="{C3380CC4-5D6E-409C-BE32-E72D297353CC}">
              <c16:uniqueId val="{00000002-FA20-4EAC-8767-17C7360FF141}"/>
            </c:ext>
          </c:extLst>
        </c:ser>
        <c:ser>
          <c:idx val="3"/>
          <c:order val="3"/>
          <c:tx>
            <c:strRef>
              <c:f>Pivots2!$J$37:$J$38</c:f>
              <c:strCache>
                <c:ptCount val="1"/>
                <c:pt idx="0">
                  <c:v>4</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Pivots2!$F$39:$F$41</c:f>
              <c:strCache>
                <c:ptCount val="3"/>
                <c:pt idx="0">
                  <c:v>Jan</c:v>
                </c:pt>
                <c:pt idx="1">
                  <c:v>Feb</c:v>
                </c:pt>
                <c:pt idx="2">
                  <c:v>Mar</c:v>
                </c:pt>
              </c:strCache>
            </c:strRef>
          </c:cat>
          <c:val>
            <c:numRef>
              <c:f>Pivots2!$J$39:$J$41</c:f>
              <c:numCache>
                <c:formatCode>General</c:formatCode>
                <c:ptCount val="3"/>
                <c:pt idx="0">
                  <c:v>312</c:v>
                </c:pt>
                <c:pt idx="1">
                  <c:v>373</c:v>
                </c:pt>
                <c:pt idx="2">
                  <c:v>351</c:v>
                </c:pt>
              </c:numCache>
            </c:numRef>
          </c:val>
          <c:extLst>
            <c:ext xmlns:c16="http://schemas.microsoft.com/office/drawing/2014/chart" uri="{C3380CC4-5D6E-409C-BE32-E72D297353CC}">
              <c16:uniqueId val="{00000003-FA20-4EAC-8767-17C7360FF141}"/>
            </c:ext>
          </c:extLst>
        </c:ser>
        <c:ser>
          <c:idx val="4"/>
          <c:order val="4"/>
          <c:tx>
            <c:strRef>
              <c:f>Pivots2!$K$37:$K$38</c:f>
              <c:strCache>
                <c:ptCount val="1"/>
                <c:pt idx="0">
                  <c:v>5</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Pivots2!$F$39:$F$41</c:f>
              <c:strCache>
                <c:ptCount val="3"/>
                <c:pt idx="0">
                  <c:v>Jan</c:v>
                </c:pt>
                <c:pt idx="1">
                  <c:v>Feb</c:v>
                </c:pt>
                <c:pt idx="2">
                  <c:v>Mar</c:v>
                </c:pt>
              </c:strCache>
            </c:strRef>
          </c:cat>
          <c:val>
            <c:numRef>
              <c:f>Pivots2!$K$39:$K$41</c:f>
              <c:numCache>
                <c:formatCode>General</c:formatCode>
                <c:ptCount val="3"/>
                <c:pt idx="0">
                  <c:v>224</c:v>
                </c:pt>
                <c:pt idx="1">
                  <c:v>247</c:v>
                </c:pt>
                <c:pt idx="2">
                  <c:v>250</c:v>
                </c:pt>
              </c:numCache>
            </c:numRef>
          </c:val>
          <c:extLst>
            <c:ext xmlns:c16="http://schemas.microsoft.com/office/drawing/2014/chart" uri="{C3380CC4-5D6E-409C-BE32-E72D297353CC}">
              <c16:uniqueId val="{00000004-FA20-4EAC-8767-17C7360FF141}"/>
            </c:ext>
          </c:extLst>
        </c:ser>
        <c:dLbls>
          <c:dLblPos val="outEnd"/>
          <c:showLegendKey val="0"/>
          <c:showVal val="1"/>
          <c:showCatName val="0"/>
          <c:showSerName val="0"/>
          <c:showPercent val="0"/>
          <c:showBubbleSize val="0"/>
        </c:dLbls>
        <c:gapWidth val="219"/>
        <c:overlap val="-27"/>
        <c:axId val="151357599"/>
        <c:axId val="151358079"/>
      </c:barChart>
      <c:catAx>
        <c:axId val="1513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8079"/>
        <c:crosses val="autoZero"/>
        <c:auto val="1"/>
        <c:lblAlgn val="ctr"/>
        <c:lblOffset val="100"/>
        <c:noMultiLvlLbl val="0"/>
      </c:catAx>
      <c:valAx>
        <c:axId val="151358079"/>
        <c:scaling>
          <c:orientation val="minMax"/>
        </c:scaling>
        <c:delete val="1"/>
        <c:axPos val="l"/>
        <c:numFmt formatCode="General" sourceLinked="1"/>
        <c:majorTickMark val="none"/>
        <c:minorTickMark val="none"/>
        <c:tickLblPos val="nextTo"/>
        <c:crossAx val="15135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emf"/><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50799</xdr:colOff>
      <xdr:row>1</xdr:row>
      <xdr:rowOff>118533</xdr:rowOff>
    </xdr:from>
    <xdr:to>
      <xdr:col>11</xdr:col>
      <xdr:colOff>397932</xdr:colOff>
      <xdr:row>16</xdr:row>
      <xdr:rowOff>67733</xdr:rowOff>
    </xdr:to>
    <xdr:sp macro="" textlink="">
      <xdr:nvSpPr>
        <xdr:cNvPr id="17" name="Rectangle 16">
          <a:extLst>
            <a:ext uri="{FF2B5EF4-FFF2-40B4-BE49-F238E27FC236}">
              <a16:creationId xmlns:a16="http://schemas.microsoft.com/office/drawing/2014/main" id="{9BA4969B-73DC-D08C-85C8-0424890EF644}"/>
            </a:ext>
          </a:extLst>
        </xdr:cNvPr>
        <xdr:cNvSpPr/>
      </xdr:nvSpPr>
      <xdr:spPr>
        <a:xfrm>
          <a:off x="2167466" y="304800"/>
          <a:ext cx="4614333" cy="2743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398317</xdr:colOff>
      <xdr:row>0</xdr:row>
      <xdr:rowOff>20350</xdr:rowOff>
    </xdr:from>
    <xdr:to>
      <xdr:col>26</xdr:col>
      <xdr:colOff>25976</xdr:colOff>
      <xdr:row>45</xdr:row>
      <xdr:rowOff>1</xdr:rowOff>
    </xdr:to>
    <xdr:sp macro="" textlink="">
      <xdr:nvSpPr>
        <xdr:cNvPr id="3" name="Rectangle 2">
          <a:extLst>
            <a:ext uri="{FF2B5EF4-FFF2-40B4-BE49-F238E27FC236}">
              <a16:creationId xmlns:a16="http://schemas.microsoft.com/office/drawing/2014/main" id="{DF95A39E-35F8-4386-BE72-8BE6313BBE4B}"/>
            </a:ext>
          </a:extLst>
        </xdr:cNvPr>
        <xdr:cNvSpPr/>
      </xdr:nvSpPr>
      <xdr:spPr>
        <a:xfrm>
          <a:off x="1903267" y="20350"/>
          <a:ext cx="13648459" cy="8123526"/>
        </a:xfrm>
        <a:prstGeom prst="rect">
          <a:avLst/>
        </a:prstGeom>
        <a:solidFill>
          <a:schemeClr val="accent3">
            <a:lumMod val="20000"/>
            <a:lumOff val="8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0</xdr:rowOff>
    </xdr:from>
    <xdr:to>
      <xdr:col>3</xdr:col>
      <xdr:colOff>363682</xdr:colOff>
      <xdr:row>45</xdr:row>
      <xdr:rowOff>0</xdr:rowOff>
    </xdr:to>
    <xdr:sp macro="" textlink="">
      <xdr:nvSpPr>
        <xdr:cNvPr id="2" name="Rectangle 1">
          <a:extLst>
            <a:ext uri="{FF2B5EF4-FFF2-40B4-BE49-F238E27FC236}">
              <a16:creationId xmlns:a16="http://schemas.microsoft.com/office/drawing/2014/main" id="{3235900F-E8A2-05E5-A36C-B459C309FA38}"/>
            </a:ext>
          </a:extLst>
        </xdr:cNvPr>
        <xdr:cNvSpPr/>
      </xdr:nvSpPr>
      <xdr:spPr>
        <a:xfrm>
          <a:off x="15240" y="0"/>
          <a:ext cx="1853392" cy="8143875"/>
        </a:xfrm>
        <a:prstGeom prst="rect">
          <a:avLst/>
        </a:prstGeom>
        <a:solidFill>
          <a:schemeClr val="accent3">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93129</xdr:colOff>
      <xdr:row>3</xdr:row>
      <xdr:rowOff>134311</xdr:rowOff>
    </xdr:from>
    <xdr:to>
      <xdr:col>1</xdr:col>
      <xdr:colOff>1032929</xdr:colOff>
      <xdr:row>5</xdr:row>
      <xdr:rowOff>117378</xdr:rowOff>
    </xdr:to>
    <xdr:sp macro="" textlink="Pivots!H5">
      <xdr:nvSpPr>
        <xdr:cNvPr id="4" name="TextBox 3">
          <a:extLst>
            <a:ext uri="{FF2B5EF4-FFF2-40B4-BE49-F238E27FC236}">
              <a16:creationId xmlns:a16="http://schemas.microsoft.com/office/drawing/2014/main" id="{638FA894-3AD8-8D7B-E66F-027024754296}"/>
            </a:ext>
          </a:extLst>
        </xdr:cNvPr>
        <xdr:cNvSpPr txBox="1"/>
      </xdr:nvSpPr>
      <xdr:spPr>
        <a:xfrm>
          <a:off x="93129" y="689482"/>
          <a:ext cx="1135743" cy="353182"/>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212352-95CE-44ED-9720-5160CEA2ECEB}" type="TxLink">
            <a:rPr lang="en-US" sz="1800" b="1" i="0" u="none" strike="noStrike">
              <a:gradFill>
                <a:gsLst>
                  <a:gs pos="0">
                    <a:schemeClr val="bg1"/>
                  </a:gs>
                  <a:gs pos="100000">
                    <a:schemeClr val="bg1">
                      <a:lumMod val="75000"/>
                    </a:schemeClr>
                  </a:gs>
                </a:gsLst>
                <a:lin ang="5400000" scaled="1"/>
              </a:gradFill>
              <a:latin typeface="Aptos Narrow"/>
            </a:rPr>
            <a:pPr/>
            <a:t>2,400</a:t>
          </a:fld>
          <a:endParaRPr lang="en-IN" sz="1800" b="1">
            <a:gradFill>
              <a:gsLst>
                <a:gs pos="0">
                  <a:schemeClr val="bg1"/>
                </a:gs>
                <a:gs pos="100000">
                  <a:schemeClr val="bg1">
                    <a:lumMod val="75000"/>
                  </a:schemeClr>
                </a:gs>
              </a:gsLst>
              <a:lin ang="5400000" scaled="1"/>
            </a:gradFill>
          </a:endParaRPr>
        </a:p>
      </xdr:txBody>
    </xdr:sp>
    <xdr:clientData/>
  </xdr:twoCellAnchor>
  <xdr:twoCellAnchor>
    <xdr:from>
      <xdr:col>0</xdr:col>
      <xdr:colOff>93129</xdr:colOff>
      <xdr:row>7</xdr:row>
      <xdr:rowOff>109101</xdr:rowOff>
    </xdr:from>
    <xdr:to>
      <xdr:col>1</xdr:col>
      <xdr:colOff>1032929</xdr:colOff>
      <xdr:row>9</xdr:row>
      <xdr:rowOff>100635</xdr:rowOff>
    </xdr:to>
    <xdr:sp macro="" textlink="Pivots!I5">
      <xdr:nvSpPr>
        <xdr:cNvPr id="5" name="TextBox 4">
          <a:extLst>
            <a:ext uri="{FF2B5EF4-FFF2-40B4-BE49-F238E27FC236}">
              <a16:creationId xmlns:a16="http://schemas.microsoft.com/office/drawing/2014/main" id="{6609717E-2281-CF6E-9F01-D855E7576D69}"/>
            </a:ext>
          </a:extLst>
        </xdr:cNvPr>
        <xdr:cNvSpPr txBox="1"/>
      </xdr:nvSpPr>
      <xdr:spPr>
        <a:xfrm>
          <a:off x="93129" y="1381987"/>
          <a:ext cx="1130300" cy="35521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4CC0E1-AE2E-4FE5-9FE8-07C063EEB09B}" type="TxLink">
            <a:rPr lang="en-US" sz="1800" b="1" i="0" u="none" strike="noStrike">
              <a:gradFill>
                <a:gsLst>
                  <a:gs pos="0">
                    <a:schemeClr val="bg1"/>
                  </a:gs>
                  <a:gs pos="100000">
                    <a:schemeClr val="bg1">
                      <a:lumMod val="75000"/>
                    </a:schemeClr>
                  </a:gs>
                </a:gsLst>
                <a:lin ang="5400000" scaled="1"/>
              </a:gradFill>
              <a:latin typeface="Aptos Narrow"/>
              <a:ea typeface="+mn-ea"/>
              <a:cs typeface="+mn-cs"/>
            </a:rPr>
            <a:pPr marL="0" indent="0"/>
            <a:t>11,997</a:t>
          </a:fld>
          <a:endParaRPr lang="en-IN" sz="1800" b="1" i="0" u="none" strike="noStrike">
            <a:gradFill>
              <a:gsLst>
                <a:gs pos="0">
                  <a:schemeClr val="bg1"/>
                </a:gs>
                <a:gs pos="100000">
                  <a:schemeClr val="bg1">
                    <a:lumMod val="75000"/>
                  </a:schemeClr>
                </a:gs>
              </a:gsLst>
              <a:lin ang="5400000" scaled="1"/>
            </a:gradFill>
            <a:latin typeface="Aptos Narrow"/>
            <a:ea typeface="+mn-ea"/>
            <a:cs typeface="+mn-cs"/>
          </a:endParaRPr>
        </a:p>
      </xdr:txBody>
    </xdr:sp>
    <xdr:clientData/>
  </xdr:twoCellAnchor>
  <xdr:twoCellAnchor>
    <xdr:from>
      <xdr:col>0</xdr:col>
      <xdr:colOff>93129</xdr:colOff>
      <xdr:row>11</xdr:row>
      <xdr:rowOff>83702</xdr:rowOff>
    </xdr:from>
    <xdr:to>
      <xdr:col>1</xdr:col>
      <xdr:colOff>1032929</xdr:colOff>
      <xdr:row>13</xdr:row>
      <xdr:rowOff>100636</xdr:rowOff>
    </xdr:to>
    <xdr:sp macro="" textlink="Pivots!J5">
      <xdr:nvSpPr>
        <xdr:cNvPr id="6" name="TextBox 5">
          <a:extLst>
            <a:ext uri="{FF2B5EF4-FFF2-40B4-BE49-F238E27FC236}">
              <a16:creationId xmlns:a16="http://schemas.microsoft.com/office/drawing/2014/main" id="{CB83364F-B204-C087-A742-4680E677E57C}"/>
            </a:ext>
          </a:extLst>
        </xdr:cNvPr>
        <xdr:cNvSpPr txBox="1"/>
      </xdr:nvSpPr>
      <xdr:spPr>
        <a:xfrm>
          <a:off x="93129" y="2083952"/>
          <a:ext cx="1130300" cy="38061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909873-144A-4952-B87B-0A4D903C02EB}" type="TxLink">
            <a:rPr lang="en-US" sz="1800" b="1" i="0" u="none" strike="noStrike">
              <a:gradFill>
                <a:gsLst>
                  <a:gs pos="0">
                    <a:schemeClr val="bg1"/>
                  </a:gs>
                  <a:gs pos="100000">
                    <a:schemeClr val="bg1">
                      <a:lumMod val="75000"/>
                    </a:schemeClr>
                  </a:gs>
                </a:gsLst>
                <a:lin ang="5400000" scaled="1"/>
              </a:gradFill>
              <a:latin typeface="Aptos Narrow"/>
              <a:ea typeface="+mn-ea"/>
              <a:cs typeface="+mn-cs"/>
            </a:rPr>
            <a:pPr marL="0" indent="0"/>
            <a:t>$649.0k</a:t>
          </a:fld>
          <a:endParaRPr lang="en-IN" sz="1800" b="1" i="0" u="none" strike="noStrike">
            <a:gradFill>
              <a:gsLst>
                <a:gs pos="0">
                  <a:schemeClr val="bg1"/>
                </a:gs>
                <a:gs pos="100000">
                  <a:schemeClr val="bg1">
                    <a:lumMod val="75000"/>
                  </a:schemeClr>
                </a:gs>
              </a:gsLst>
              <a:lin ang="5400000" scaled="1"/>
            </a:gradFill>
            <a:latin typeface="Aptos Narrow"/>
            <a:ea typeface="+mn-ea"/>
            <a:cs typeface="+mn-cs"/>
          </a:endParaRPr>
        </a:p>
      </xdr:txBody>
    </xdr:sp>
    <xdr:clientData/>
  </xdr:twoCellAnchor>
  <xdr:twoCellAnchor>
    <xdr:from>
      <xdr:col>0</xdr:col>
      <xdr:colOff>93129</xdr:colOff>
      <xdr:row>15</xdr:row>
      <xdr:rowOff>92170</xdr:rowOff>
    </xdr:from>
    <xdr:to>
      <xdr:col>1</xdr:col>
      <xdr:colOff>1040549</xdr:colOff>
      <xdr:row>17</xdr:row>
      <xdr:rowOff>66771</xdr:rowOff>
    </xdr:to>
    <xdr:sp macro="" textlink="Pivots!K5">
      <xdr:nvSpPr>
        <xdr:cNvPr id="7" name="TextBox 6">
          <a:extLst>
            <a:ext uri="{FF2B5EF4-FFF2-40B4-BE49-F238E27FC236}">
              <a16:creationId xmlns:a16="http://schemas.microsoft.com/office/drawing/2014/main" id="{C8E7EED3-0EFC-F99E-7F3D-DFA81286B422}"/>
            </a:ext>
          </a:extLst>
        </xdr:cNvPr>
        <xdr:cNvSpPr txBox="1"/>
      </xdr:nvSpPr>
      <xdr:spPr>
        <a:xfrm>
          <a:off x="93129" y="2819784"/>
          <a:ext cx="1137920" cy="338282"/>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592640-06F4-4849-A787-E3DA8F014085}" type="TxLink">
            <a:rPr lang="en-US" sz="1800" b="1" i="0" u="none" strike="noStrike">
              <a:gradFill>
                <a:gsLst>
                  <a:gs pos="0">
                    <a:schemeClr val="bg1"/>
                  </a:gs>
                  <a:gs pos="100000">
                    <a:schemeClr val="bg1">
                      <a:lumMod val="75000"/>
                    </a:schemeClr>
                  </a:gs>
                </a:gsLst>
                <a:lin ang="5400000" scaled="1"/>
              </a:gradFill>
              <a:latin typeface="Aptos Narrow"/>
              <a:ea typeface="+mn-ea"/>
              <a:cs typeface="+mn-cs"/>
            </a:rPr>
            <a:pPr marL="0" indent="0"/>
            <a:t>4.0</a:t>
          </a:fld>
          <a:endParaRPr lang="en-IN" sz="1800" b="1" i="0" u="none" strike="noStrike">
            <a:gradFill>
              <a:gsLst>
                <a:gs pos="0">
                  <a:schemeClr val="bg1"/>
                </a:gs>
                <a:gs pos="100000">
                  <a:schemeClr val="bg1">
                    <a:lumMod val="75000"/>
                  </a:schemeClr>
                </a:gs>
              </a:gsLst>
              <a:lin ang="5400000" scaled="1"/>
            </a:gradFill>
            <a:latin typeface="Aptos Narrow"/>
            <a:ea typeface="+mn-ea"/>
            <a:cs typeface="+mn-cs"/>
          </a:endParaRPr>
        </a:p>
      </xdr:txBody>
    </xdr:sp>
    <xdr:clientData/>
  </xdr:twoCellAnchor>
  <xdr:twoCellAnchor>
    <xdr:from>
      <xdr:col>0</xdr:col>
      <xdr:colOff>93129</xdr:colOff>
      <xdr:row>19</xdr:row>
      <xdr:rowOff>75620</xdr:rowOff>
    </xdr:from>
    <xdr:to>
      <xdr:col>1</xdr:col>
      <xdr:colOff>1040549</xdr:colOff>
      <xdr:row>21</xdr:row>
      <xdr:rowOff>41755</xdr:rowOff>
    </xdr:to>
    <xdr:sp macro="" textlink="Pivots!L5">
      <xdr:nvSpPr>
        <xdr:cNvPr id="8" name="TextBox 7">
          <a:extLst>
            <a:ext uri="{FF2B5EF4-FFF2-40B4-BE49-F238E27FC236}">
              <a16:creationId xmlns:a16="http://schemas.microsoft.com/office/drawing/2014/main" id="{FEED66C5-3F3C-74F2-9B91-8C6DB75CF5B2}"/>
            </a:ext>
          </a:extLst>
        </xdr:cNvPr>
        <xdr:cNvSpPr txBox="1"/>
      </xdr:nvSpPr>
      <xdr:spPr>
        <a:xfrm>
          <a:off x="93129" y="3530597"/>
          <a:ext cx="1137920" cy="32981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CB0C7A-C2F3-4A30-8CFB-7C30C5DE1AA6}" type="TxLink">
            <a:rPr lang="en-US" sz="1800" b="1" i="0" u="none" strike="noStrike">
              <a:gradFill>
                <a:gsLst>
                  <a:gs pos="0">
                    <a:schemeClr val="bg1"/>
                  </a:gs>
                  <a:gs pos="100000">
                    <a:schemeClr val="bg1">
                      <a:lumMod val="75000"/>
                    </a:schemeClr>
                  </a:gs>
                </a:gsLst>
                <a:lin ang="5400000" scaled="1"/>
              </a:gradFill>
              <a:latin typeface="Aptos Narrow"/>
              <a:ea typeface="+mn-ea"/>
              <a:cs typeface="+mn-cs"/>
            </a:rPr>
            <a:pPr marL="0" indent="0"/>
            <a:t>2.3</a:t>
          </a:fld>
          <a:endParaRPr lang="en-IN" sz="1800" b="1" i="0" u="none" strike="noStrike">
            <a:gradFill>
              <a:gsLst>
                <a:gs pos="0">
                  <a:schemeClr val="bg1"/>
                </a:gs>
                <a:gs pos="100000">
                  <a:schemeClr val="bg1">
                    <a:lumMod val="75000"/>
                  </a:schemeClr>
                </a:gs>
              </a:gsLst>
              <a:lin ang="5400000" scaled="1"/>
            </a:gradFill>
            <a:latin typeface="Aptos Narrow"/>
            <a:ea typeface="+mn-ea"/>
            <a:cs typeface="+mn-cs"/>
          </a:endParaRPr>
        </a:p>
      </xdr:txBody>
    </xdr:sp>
    <xdr:clientData/>
  </xdr:twoCellAnchor>
  <xdr:twoCellAnchor>
    <xdr:from>
      <xdr:col>0</xdr:col>
      <xdr:colOff>93129</xdr:colOff>
      <xdr:row>2</xdr:row>
      <xdr:rowOff>48685</xdr:rowOff>
    </xdr:from>
    <xdr:to>
      <xdr:col>1</xdr:col>
      <xdr:colOff>779318</xdr:colOff>
      <xdr:row>3</xdr:row>
      <xdr:rowOff>147206</xdr:rowOff>
    </xdr:to>
    <xdr:sp macro="" textlink="">
      <xdr:nvSpPr>
        <xdr:cNvPr id="10" name="TextBox 9">
          <a:extLst>
            <a:ext uri="{FF2B5EF4-FFF2-40B4-BE49-F238E27FC236}">
              <a16:creationId xmlns:a16="http://schemas.microsoft.com/office/drawing/2014/main" id="{98F44CA3-4A30-826C-4919-0E42F92DF0BC}"/>
            </a:ext>
          </a:extLst>
        </xdr:cNvPr>
        <xdr:cNvSpPr txBox="1"/>
      </xdr:nvSpPr>
      <xdr:spPr>
        <a:xfrm>
          <a:off x="93129" y="412367"/>
          <a:ext cx="876689" cy="280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Orders</a:t>
          </a:r>
          <a:endParaRPr lang="en-IN" sz="1100" b="1">
            <a:solidFill>
              <a:schemeClr val="bg1"/>
            </a:solidFill>
          </a:endParaRPr>
        </a:p>
      </xdr:txBody>
    </xdr:sp>
    <xdr:clientData/>
  </xdr:twoCellAnchor>
  <xdr:twoCellAnchor>
    <xdr:from>
      <xdr:col>0</xdr:col>
      <xdr:colOff>93129</xdr:colOff>
      <xdr:row>6</xdr:row>
      <xdr:rowOff>23477</xdr:rowOff>
    </xdr:from>
    <xdr:to>
      <xdr:col>1</xdr:col>
      <xdr:colOff>922864</xdr:colOff>
      <xdr:row>7</xdr:row>
      <xdr:rowOff>120651</xdr:rowOff>
    </xdr:to>
    <xdr:sp macro="" textlink="">
      <xdr:nvSpPr>
        <xdr:cNvPr id="11" name="TextBox 10">
          <a:extLst>
            <a:ext uri="{FF2B5EF4-FFF2-40B4-BE49-F238E27FC236}">
              <a16:creationId xmlns:a16="http://schemas.microsoft.com/office/drawing/2014/main" id="{2D7FAAB1-778F-6301-E88A-DAE69B1C8B75}"/>
            </a:ext>
          </a:extLst>
        </xdr:cNvPr>
        <xdr:cNvSpPr txBox="1"/>
      </xdr:nvSpPr>
      <xdr:spPr>
        <a:xfrm>
          <a:off x="93129" y="1114522"/>
          <a:ext cx="1020235" cy="27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Quantity</a:t>
          </a:r>
          <a:endParaRPr lang="en-IN" sz="1100" b="1">
            <a:solidFill>
              <a:schemeClr val="bg1"/>
            </a:solidFill>
          </a:endParaRPr>
        </a:p>
      </xdr:txBody>
    </xdr:sp>
    <xdr:clientData/>
  </xdr:twoCellAnchor>
  <xdr:twoCellAnchor>
    <xdr:from>
      <xdr:col>0</xdr:col>
      <xdr:colOff>93129</xdr:colOff>
      <xdr:row>9</xdr:row>
      <xdr:rowOff>179918</xdr:rowOff>
    </xdr:from>
    <xdr:to>
      <xdr:col>1</xdr:col>
      <xdr:colOff>948264</xdr:colOff>
      <xdr:row>11</xdr:row>
      <xdr:rowOff>95251</xdr:rowOff>
    </xdr:to>
    <xdr:sp macro="" textlink="">
      <xdr:nvSpPr>
        <xdr:cNvPr id="12" name="TextBox 11">
          <a:extLst>
            <a:ext uri="{FF2B5EF4-FFF2-40B4-BE49-F238E27FC236}">
              <a16:creationId xmlns:a16="http://schemas.microsoft.com/office/drawing/2014/main" id="{2C762808-D820-7613-0FB6-949E5BD282E4}"/>
            </a:ext>
          </a:extLst>
        </xdr:cNvPr>
        <xdr:cNvSpPr txBox="1"/>
      </xdr:nvSpPr>
      <xdr:spPr>
        <a:xfrm>
          <a:off x="93129" y="1816486"/>
          <a:ext cx="1045635" cy="27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Amount</a:t>
          </a:r>
          <a:endParaRPr lang="en-IN" sz="1100" b="1">
            <a:solidFill>
              <a:schemeClr val="bg1"/>
            </a:solidFill>
          </a:endParaRPr>
        </a:p>
      </xdr:txBody>
    </xdr:sp>
    <xdr:clientData/>
  </xdr:twoCellAnchor>
  <xdr:twoCellAnchor>
    <xdr:from>
      <xdr:col>0</xdr:col>
      <xdr:colOff>93129</xdr:colOff>
      <xdr:row>13</xdr:row>
      <xdr:rowOff>179920</xdr:rowOff>
    </xdr:from>
    <xdr:to>
      <xdr:col>1</xdr:col>
      <xdr:colOff>1032930</xdr:colOff>
      <xdr:row>15</xdr:row>
      <xdr:rowOff>95252</xdr:rowOff>
    </xdr:to>
    <xdr:sp macro="" textlink="">
      <xdr:nvSpPr>
        <xdr:cNvPr id="13" name="TextBox 12">
          <a:extLst>
            <a:ext uri="{FF2B5EF4-FFF2-40B4-BE49-F238E27FC236}">
              <a16:creationId xmlns:a16="http://schemas.microsoft.com/office/drawing/2014/main" id="{DA59A29E-8E1C-0DE8-CFDE-D4FBABCB0F5D}"/>
            </a:ext>
          </a:extLst>
        </xdr:cNvPr>
        <xdr:cNvSpPr txBox="1"/>
      </xdr:nvSpPr>
      <xdr:spPr>
        <a:xfrm>
          <a:off x="93129" y="2543852"/>
          <a:ext cx="1130301" cy="279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t>
          </a:r>
          <a:r>
            <a:rPr lang="en-US" sz="1100" b="1">
              <a:solidFill>
                <a:schemeClr val="bg1"/>
              </a:solidFill>
              <a:latin typeface="+mn-lt"/>
              <a:ea typeface="+mn-ea"/>
              <a:cs typeface="+mn-cs"/>
            </a:rPr>
            <a:t>Avg</a:t>
          </a:r>
          <a:r>
            <a:rPr lang="en-US" sz="1100" b="1">
              <a:solidFill>
                <a:schemeClr val="bg1"/>
              </a:solidFill>
            </a:rPr>
            <a:t>. Rating</a:t>
          </a:r>
          <a:endParaRPr lang="en-IN" sz="1100" b="1">
            <a:solidFill>
              <a:schemeClr val="bg1"/>
            </a:solidFill>
          </a:endParaRPr>
        </a:p>
      </xdr:txBody>
    </xdr:sp>
    <xdr:clientData/>
  </xdr:twoCellAnchor>
  <xdr:twoCellAnchor>
    <xdr:from>
      <xdr:col>0</xdr:col>
      <xdr:colOff>93129</xdr:colOff>
      <xdr:row>17</xdr:row>
      <xdr:rowOff>180882</xdr:rowOff>
    </xdr:from>
    <xdr:to>
      <xdr:col>2</xdr:col>
      <xdr:colOff>50796</xdr:colOff>
      <xdr:row>19</xdr:row>
      <xdr:rowOff>100640</xdr:rowOff>
    </xdr:to>
    <xdr:sp macro="" textlink="">
      <xdr:nvSpPr>
        <xdr:cNvPr id="14" name="TextBox 13">
          <a:extLst>
            <a:ext uri="{FF2B5EF4-FFF2-40B4-BE49-F238E27FC236}">
              <a16:creationId xmlns:a16="http://schemas.microsoft.com/office/drawing/2014/main" id="{D5937606-A740-3B3D-4C44-46FA76FB6760}"/>
            </a:ext>
          </a:extLst>
        </xdr:cNvPr>
        <xdr:cNvSpPr txBox="1"/>
      </xdr:nvSpPr>
      <xdr:spPr>
        <a:xfrm>
          <a:off x="93129" y="3272177"/>
          <a:ext cx="1265190" cy="283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a:t>
          </a:r>
          <a:r>
            <a:rPr lang="en-US" sz="1100" b="1">
              <a:solidFill>
                <a:schemeClr val="bg1"/>
              </a:solidFill>
              <a:latin typeface="+mn-lt"/>
              <a:ea typeface="+mn-ea"/>
              <a:cs typeface="+mn-cs"/>
            </a:rPr>
            <a:t>Days</a:t>
          </a:r>
          <a:r>
            <a:rPr lang="en-US" sz="1100" b="1">
              <a:solidFill>
                <a:schemeClr val="bg1"/>
              </a:solidFill>
            </a:rPr>
            <a:t> to Deliver</a:t>
          </a:r>
          <a:endParaRPr lang="en-IN" sz="1100" b="1">
            <a:solidFill>
              <a:schemeClr val="bg1"/>
            </a:solidFill>
          </a:endParaRPr>
        </a:p>
      </xdr:txBody>
    </xdr:sp>
    <xdr:clientData/>
  </xdr:twoCellAnchor>
  <xdr:twoCellAnchor editAs="oneCell">
    <xdr:from>
      <xdr:col>7</xdr:col>
      <xdr:colOff>0</xdr:colOff>
      <xdr:row>102</xdr:row>
      <xdr:rowOff>0</xdr:rowOff>
    </xdr:from>
    <xdr:to>
      <xdr:col>12</xdr:col>
      <xdr:colOff>114300</xdr:colOff>
      <xdr:row>110</xdr:row>
      <xdr:rowOff>144780</xdr:rowOff>
    </xdr:to>
    <xdr:pic>
      <xdr:nvPicPr>
        <xdr:cNvPr id="23" name="Picture 22">
          <a:extLst>
            <a:ext uri="{FF2B5EF4-FFF2-40B4-BE49-F238E27FC236}">
              <a16:creationId xmlns:a16="http://schemas.microsoft.com/office/drawing/2014/main" id="{6C927C65-CD41-E680-048D-1CED0245B2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9540" y="18653760"/>
          <a:ext cx="3162300" cy="1607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112487</xdr:colOff>
      <xdr:row>22</xdr:row>
      <xdr:rowOff>7363</xdr:rowOff>
    </xdr:from>
    <xdr:to>
      <xdr:col>3</xdr:col>
      <xdr:colOff>268432</xdr:colOff>
      <xdr:row>32</xdr:row>
      <xdr:rowOff>0</xdr:rowOff>
    </xdr:to>
    <mc:AlternateContent xmlns:mc="http://schemas.openxmlformats.org/markup-compatibility/2006">
      <mc:Choice xmlns:a14="http://schemas.microsoft.com/office/drawing/2010/main" Requires="a14">
        <xdr:graphicFrame macro="">
          <xdr:nvGraphicFramePr>
            <xdr:cNvPr id="25" name="Order Mode">
              <a:extLst>
                <a:ext uri="{FF2B5EF4-FFF2-40B4-BE49-F238E27FC236}">
                  <a16:creationId xmlns:a16="http://schemas.microsoft.com/office/drawing/2014/main" id="{89A8E61D-5A92-4155-B627-5F339BE9B5F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12487" y="4039211"/>
              <a:ext cx="1660654" cy="1825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85726</xdr:colOff>
      <xdr:row>3</xdr:row>
      <xdr:rowOff>133350</xdr:rowOff>
    </xdr:from>
    <xdr:to>
      <xdr:col>11</xdr:col>
      <xdr:colOff>352426</xdr:colOff>
      <xdr:row>19</xdr:row>
      <xdr:rowOff>123825</xdr:rowOff>
    </xdr:to>
    <xdr:sp macro="" textlink="">
      <xdr:nvSpPr>
        <xdr:cNvPr id="28" name="Rectangle: Rounded Corners 27">
          <a:extLst>
            <a:ext uri="{FF2B5EF4-FFF2-40B4-BE49-F238E27FC236}">
              <a16:creationId xmlns:a16="http://schemas.microsoft.com/office/drawing/2014/main" id="{D23366D3-1AC6-80B2-08F0-FA3BE1E51AD9}"/>
            </a:ext>
          </a:extLst>
        </xdr:cNvPr>
        <xdr:cNvSpPr/>
      </xdr:nvSpPr>
      <xdr:spPr>
        <a:xfrm>
          <a:off x="2200276" y="676275"/>
          <a:ext cx="4533900" cy="28860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123225</xdr:colOff>
      <xdr:row>32</xdr:row>
      <xdr:rowOff>120624</xdr:rowOff>
    </xdr:from>
    <xdr:to>
      <xdr:col>3</xdr:col>
      <xdr:colOff>278823</xdr:colOff>
      <xdr:row>41</xdr:row>
      <xdr:rowOff>24246</xdr:rowOff>
    </xdr:to>
    <mc:AlternateContent xmlns:mc="http://schemas.openxmlformats.org/markup-compatibility/2006">
      <mc:Choice xmlns:a14="http://schemas.microsoft.com/office/drawing/2010/main" Requires="a14">
        <xdr:graphicFrame macro="">
          <xdr:nvGraphicFramePr>
            <xdr:cNvPr id="26" name="Gender Value">
              <a:extLst>
                <a:ext uri="{FF2B5EF4-FFF2-40B4-BE49-F238E27FC236}">
                  <a16:creationId xmlns:a16="http://schemas.microsoft.com/office/drawing/2014/main" id="{F4FBBD18-0D6E-406C-BB91-349BF0B384F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23225" y="5985130"/>
              <a:ext cx="1660307" cy="1553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333375</xdr:colOff>
      <xdr:row>4</xdr:row>
      <xdr:rowOff>28575</xdr:rowOff>
    </xdr:from>
    <xdr:to>
      <xdr:col>10</xdr:col>
      <xdr:colOff>571500</xdr:colOff>
      <xdr:row>19</xdr:row>
      <xdr:rowOff>55275</xdr:rowOff>
    </xdr:to>
    <xdr:graphicFrame macro="">
      <xdr:nvGraphicFramePr>
        <xdr:cNvPr id="9" name="Chart 8">
          <a:extLst>
            <a:ext uri="{FF2B5EF4-FFF2-40B4-BE49-F238E27FC236}">
              <a16:creationId xmlns:a16="http://schemas.microsoft.com/office/drawing/2014/main" id="{D2F6D443-F8CE-482B-9565-D5ECFF86B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590550</xdr:colOff>
      <xdr:row>3</xdr:row>
      <xdr:rowOff>142875</xdr:rowOff>
    </xdr:from>
    <xdr:to>
      <xdr:col>18</xdr:col>
      <xdr:colOff>447676</xdr:colOff>
      <xdr:row>19</xdr:row>
      <xdr:rowOff>133350</xdr:rowOff>
    </xdr:to>
    <xdr:sp macro="" textlink="">
      <xdr:nvSpPr>
        <xdr:cNvPr id="31" name="Rectangle: Rounded Corners 30">
          <a:extLst>
            <a:ext uri="{FF2B5EF4-FFF2-40B4-BE49-F238E27FC236}">
              <a16:creationId xmlns:a16="http://schemas.microsoft.com/office/drawing/2014/main" id="{647EE95B-0014-4F74-9389-E7E718E8BDF8}"/>
            </a:ext>
          </a:extLst>
        </xdr:cNvPr>
        <xdr:cNvSpPr/>
      </xdr:nvSpPr>
      <xdr:spPr>
        <a:xfrm>
          <a:off x="6972300" y="685800"/>
          <a:ext cx="4124326" cy="28860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161925</xdr:colOff>
      <xdr:row>3</xdr:row>
      <xdr:rowOff>123825</xdr:rowOff>
    </xdr:from>
    <xdr:to>
      <xdr:col>25</xdr:col>
      <xdr:colOff>400051</xdr:colOff>
      <xdr:row>19</xdr:row>
      <xdr:rowOff>114300</xdr:rowOff>
    </xdr:to>
    <xdr:sp macro="" textlink="">
      <xdr:nvSpPr>
        <xdr:cNvPr id="32" name="Rectangle: Rounded Corners 31">
          <a:extLst>
            <a:ext uri="{FF2B5EF4-FFF2-40B4-BE49-F238E27FC236}">
              <a16:creationId xmlns:a16="http://schemas.microsoft.com/office/drawing/2014/main" id="{BDAFC18C-A31B-4E20-972D-62DF76486A3A}"/>
            </a:ext>
          </a:extLst>
        </xdr:cNvPr>
        <xdr:cNvSpPr/>
      </xdr:nvSpPr>
      <xdr:spPr>
        <a:xfrm>
          <a:off x="11420475" y="666750"/>
          <a:ext cx="3895726" cy="28860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12</xdr:col>
          <xdr:colOff>152400</xdr:colOff>
          <xdr:row>5</xdr:row>
          <xdr:rowOff>152400</xdr:rowOff>
        </xdr:from>
        <xdr:to>
          <xdr:col>18</xdr:col>
          <xdr:colOff>209549</xdr:colOff>
          <xdr:row>19</xdr:row>
          <xdr:rowOff>1057</xdr:rowOff>
        </xdr:to>
        <xdr:pic>
          <xdr:nvPicPr>
            <xdr:cNvPr id="16" name="Picture 15">
              <a:extLst>
                <a:ext uri="{FF2B5EF4-FFF2-40B4-BE49-F238E27FC236}">
                  <a16:creationId xmlns:a16="http://schemas.microsoft.com/office/drawing/2014/main" id="{9F147060-274A-2FA4-3B3B-B9A3BA3199F8}"/>
                </a:ext>
              </a:extLst>
            </xdr:cNvPr>
            <xdr:cNvPicPr>
              <a:picLocks noChangeAspect="1" noChangeArrowheads="1"/>
              <a:extLst>
                <a:ext uri="{84589F7E-364E-4C9E-8A38-B11213B215E9}">
                  <a14:cameraTool cellRange="'Attribute of Buying Plateform'!$H$4:$L$9" spid="_x0000_s2068"/>
                </a:ext>
              </a:extLst>
            </xdr:cNvPicPr>
          </xdr:nvPicPr>
          <xdr:blipFill>
            <a:blip xmlns:r="http://schemas.openxmlformats.org/officeDocument/2006/relationships" r:embed="rId3"/>
            <a:srcRect/>
            <a:stretch>
              <a:fillRect/>
            </a:stretch>
          </xdr:blipFill>
          <xdr:spPr bwMode="auto">
            <a:xfrm>
              <a:off x="7143750" y="1057275"/>
              <a:ext cx="3714749" cy="238124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76200</xdr:colOff>
      <xdr:row>3</xdr:row>
      <xdr:rowOff>152400</xdr:rowOff>
    </xdr:from>
    <xdr:to>
      <xdr:col>25</xdr:col>
      <xdr:colOff>371475</xdr:colOff>
      <xdr:row>19</xdr:row>
      <xdr:rowOff>19051</xdr:rowOff>
    </xdr:to>
    <xdr:graphicFrame macro="">
      <xdr:nvGraphicFramePr>
        <xdr:cNvPr id="19" name="Chart 18">
          <a:extLst>
            <a:ext uri="{FF2B5EF4-FFF2-40B4-BE49-F238E27FC236}">
              <a16:creationId xmlns:a16="http://schemas.microsoft.com/office/drawing/2014/main" id="{483CD8B2-699E-4F75-BFFA-A4E0B4AB6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58014</xdr:colOff>
      <xdr:row>21</xdr:row>
      <xdr:rowOff>38100</xdr:rowOff>
    </xdr:from>
    <xdr:to>
      <xdr:col>11</xdr:col>
      <xdr:colOff>438149</xdr:colOff>
      <xdr:row>44</xdr:row>
      <xdr:rowOff>95250</xdr:rowOff>
    </xdr:to>
    <xdr:sp macro="" textlink="">
      <xdr:nvSpPr>
        <xdr:cNvPr id="33" name="Rectangle: Rounded Corners 32">
          <a:extLst>
            <a:ext uri="{FF2B5EF4-FFF2-40B4-BE49-F238E27FC236}">
              <a16:creationId xmlns:a16="http://schemas.microsoft.com/office/drawing/2014/main" id="{5E9ADEF9-832B-4612-9087-F6050E9EE7E0}"/>
            </a:ext>
          </a:extLst>
        </xdr:cNvPr>
        <xdr:cNvSpPr/>
      </xdr:nvSpPr>
      <xdr:spPr>
        <a:xfrm>
          <a:off x="2172564" y="3838575"/>
          <a:ext cx="4647335" cy="42195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34554</xdr:colOff>
      <xdr:row>21</xdr:row>
      <xdr:rowOff>95250</xdr:rowOff>
    </xdr:from>
    <xdr:to>
      <xdr:col>11</xdr:col>
      <xdr:colOff>400050</xdr:colOff>
      <xdr:row>43</xdr:row>
      <xdr:rowOff>171449</xdr:rowOff>
    </xdr:to>
    <xdr:graphicFrame macro="">
      <xdr:nvGraphicFramePr>
        <xdr:cNvPr id="20" name="Chart 19">
          <a:extLst>
            <a:ext uri="{FF2B5EF4-FFF2-40B4-BE49-F238E27FC236}">
              <a16:creationId xmlns:a16="http://schemas.microsoft.com/office/drawing/2014/main" id="{7BA07AC4-F139-427F-94FA-E54AC2C3C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439884</xdr:colOff>
      <xdr:row>33</xdr:row>
      <xdr:rowOff>104776</xdr:rowOff>
    </xdr:from>
    <xdr:to>
      <xdr:col>9</xdr:col>
      <xdr:colOff>439882</xdr:colOff>
      <xdr:row>43</xdr:row>
      <xdr:rowOff>130753</xdr:rowOff>
    </xdr:to>
    <xdr:graphicFrame macro="">
      <xdr:nvGraphicFramePr>
        <xdr:cNvPr id="21" name="Chart 20">
          <a:extLst>
            <a:ext uri="{FF2B5EF4-FFF2-40B4-BE49-F238E27FC236}">
              <a16:creationId xmlns:a16="http://schemas.microsoft.com/office/drawing/2014/main" id="{96AA87B1-ABCC-43BE-B62B-299E954B1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534264</xdr:colOff>
      <xdr:row>21</xdr:row>
      <xdr:rowOff>47625</xdr:rowOff>
    </xdr:from>
    <xdr:to>
      <xdr:col>19</xdr:col>
      <xdr:colOff>9525</xdr:colOff>
      <xdr:row>44</xdr:row>
      <xdr:rowOff>104775</xdr:rowOff>
    </xdr:to>
    <xdr:sp macro="" textlink="">
      <xdr:nvSpPr>
        <xdr:cNvPr id="35" name="Rectangle: Rounded Corners 34">
          <a:extLst>
            <a:ext uri="{FF2B5EF4-FFF2-40B4-BE49-F238E27FC236}">
              <a16:creationId xmlns:a16="http://schemas.microsoft.com/office/drawing/2014/main" id="{54B53477-084E-46FA-80F0-B092895CF8D4}"/>
            </a:ext>
          </a:extLst>
        </xdr:cNvPr>
        <xdr:cNvSpPr/>
      </xdr:nvSpPr>
      <xdr:spPr>
        <a:xfrm>
          <a:off x="6916014" y="3848100"/>
          <a:ext cx="4352061" cy="42195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421616</xdr:colOff>
      <xdr:row>21</xdr:row>
      <xdr:rowOff>114299</xdr:rowOff>
    </xdr:from>
    <xdr:to>
      <xdr:col>19</xdr:col>
      <xdr:colOff>18585</xdr:colOff>
      <xdr:row>43</xdr:row>
      <xdr:rowOff>95250</xdr:rowOff>
    </xdr:to>
    <xdr:graphicFrame macro="">
      <xdr:nvGraphicFramePr>
        <xdr:cNvPr id="22" name="Chart 21">
          <a:extLst>
            <a:ext uri="{FF2B5EF4-FFF2-40B4-BE49-F238E27FC236}">
              <a16:creationId xmlns:a16="http://schemas.microsoft.com/office/drawing/2014/main" id="{A72FA155-20CB-44C4-AD9D-4FA5459CC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105640</xdr:colOff>
      <xdr:row>21</xdr:row>
      <xdr:rowOff>19050</xdr:rowOff>
    </xdr:from>
    <xdr:to>
      <xdr:col>25</xdr:col>
      <xdr:colOff>352426</xdr:colOff>
      <xdr:row>44</xdr:row>
      <xdr:rowOff>76200</xdr:rowOff>
    </xdr:to>
    <xdr:sp macro="" textlink="">
      <xdr:nvSpPr>
        <xdr:cNvPr id="36" name="Rectangle: Rounded Corners 35">
          <a:extLst>
            <a:ext uri="{FF2B5EF4-FFF2-40B4-BE49-F238E27FC236}">
              <a16:creationId xmlns:a16="http://schemas.microsoft.com/office/drawing/2014/main" id="{CFD4E71D-0112-4BDB-9CC6-C0EF3C038CBC}"/>
            </a:ext>
          </a:extLst>
        </xdr:cNvPr>
        <xdr:cNvSpPr/>
      </xdr:nvSpPr>
      <xdr:spPr>
        <a:xfrm>
          <a:off x="11364190" y="3819525"/>
          <a:ext cx="3904386" cy="42195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96034</xdr:colOff>
      <xdr:row>21</xdr:row>
      <xdr:rowOff>85725</xdr:rowOff>
    </xdr:from>
    <xdr:to>
      <xdr:col>25</xdr:col>
      <xdr:colOff>400050</xdr:colOff>
      <xdr:row>43</xdr:row>
      <xdr:rowOff>161925</xdr:rowOff>
    </xdr:to>
    <xdr:graphicFrame macro="">
      <xdr:nvGraphicFramePr>
        <xdr:cNvPr id="24" name="Chart 23">
          <a:extLst>
            <a:ext uri="{FF2B5EF4-FFF2-40B4-BE49-F238E27FC236}">
              <a16:creationId xmlns:a16="http://schemas.microsoft.com/office/drawing/2014/main" id="{9864F3A7-430D-49AA-89BB-E1EA38B8C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257175</xdr:colOff>
      <xdr:row>4</xdr:row>
      <xdr:rowOff>76200</xdr:rowOff>
    </xdr:from>
    <xdr:to>
      <xdr:col>17</xdr:col>
      <xdr:colOff>190500</xdr:colOff>
      <xdr:row>5</xdr:row>
      <xdr:rowOff>171450</xdr:rowOff>
    </xdr:to>
    <xdr:sp macro="" textlink="">
      <xdr:nvSpPr>
        <xdr:cNvPr id="37" name="TextBox 36">
          <a:extLst>
            <a:ext uri="{FF2B5EF4-FFF2-40B4-BE49-F238E27FC236}">
              <a16:creationId xmlns:a16="http://schemas.microsoft.com/office/drawing/2014/main" id="{A0E17356-029C-C665-1357-8A377F0D7B0E}"/>
            </a:ext>
          </a:extLst>
        </xdr:cNvPr>
        <xdr:cNvSpPr txBox="1"/>
      </xdr:nvSpPr>
      <xdr:spPr>
        <a:xfrm>
          <a:off x="7858125" y="800100"/>
          <a:ext cx="23717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mn-lt"/>
              <a:ea typeface="Malgun Gothic Semilight" panose="020B0502040204020203" pitchFamily="34" charset="-128"/>
              <a:cs typeface="Malgun Gothic Semilight" panose="020B0502040204020203" pitchFamily="34" charset="-128"/>
            </a:rPr>
            <a:t>How they</a:t>
          </a:r>
          <a:r>
            <a:rPr lang="en-IN" sz="1400" b="1" baseline="0">
              <a:latin typeface="+mn-lt"/>
              <a:ea typeface="Malgun Gothic Semilight" panose="020B0502040204020203" pitchFamily="34" charset="-128"/>
              <a:cs typeface="Malgun Gothic Semilight" panose="020B0502040204020203" pitchFamily="34" charset="-128"/>
            </a:rPr>
            <a:t> like to buy?</a:t>
          </a:r>
          <a:endParaRPr lang="en-IN" sz="1400" b="1">
            <a:latin typeface="+mn-lt"/>
            <a:ea typeface="Malgun Gothic Semilight" panose="020B0502040204020203" pitchFamily="34" charset="-128"/>
            <a:cs typeface="Malgun Gothic Semilight" panose="020B0502040204020203" pitchFamily="34" charset="-128"/>
          </a:endParaRPr>
        </a:p>
      </xdr:txBody>
    </xdr:sp>
    <xdr:clientData/>
  </xdr:twoCellAnchor>
  <xdr:twoCellAnchor>
    <xdr:from>
      <xdr:col>4</xdr:col>
      <xdr:colOff>171450</xdr:colOff>
      <xdr:row>0</xdr:row>
      <xdr:rowOff>152400</xdr:rowOff>
    </xdr:from>
    <xdr:to>
      <xdr:col>25</xdr:col>
      <xdr:colOff>200025</xdr:colOff>
      <xdr:row>3</xdr:row>
      <xdr:rowOff>28575</xdr:rowOff>
    </xdr:to>
    <xdr:sp macro="" textlink="">
      <xdr:nvSpPr>
        <xdr:cNvPr id="38" name="TextBox 37">
          <a:extLst>
            <a:ext uri="{FF2B5EF4-FFF2-40B4-BE49-F238E27FC236}">
              <a16:creationId xmlns:a16="http://schemas.microsoft.com/office/drawing/2014/main" id="{82DB7BD9-ADE2-E1AD-B9C2-631A7544489F}"/>
            </a:ext>
          </a:extLst>
        </xdr:cNvPr>
        <xdr:cNvSpPr txBox="1"/>
      </xdr:nvSpPr>
      <xdr:spPr>
        <a:xfrm>
          <a:off x="2286000" y="152400"/>
          <a:ext cx="128301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Ecommerce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3.543403935182" createdVersion="8" refreshedVersion="8" minRefreshableVersion="3" recordCount="2400" xr:uid="{FCB62B64-107F-4DBE-BCDC-B44A706E451D}">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91471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608DC8-C087-43AD-B6B2-C7C56E90A27F}" name="pvtMatrix"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D489C1-2AC2-46A5-8B7A-F735FCC1FE67}" name="pvtSummary"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687D8-28A0-4824-A987-144D5B8D079A}" name="pvtTrend"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C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2788AF-640A-431B-B2F3-E1FB1B803B5B}" name="pvtRating"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8">
  <location ref="F37:K41" firstHeaderRow="1" firstDataRow="2" firstDataCol="1"/>
  <pivotFields count="18">
    <pivotField dataField="1"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axis="axisCol" compact="0" outline="0" showAll="0" defaultSubtotal="0">
      <items count="5">
        <item x="3"/>
        <item x="4"/>
        <item x="1"/>
        <item x="0"/>
        <item x="2"/>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axis="axisRow"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17"/>
  </rowFields>
  <rowItems count="3">
    <i>
      <x v="1"/>
    </i>
    <i>
      <x v="2"/>
    </i>
    <i>
      <x v="3"/>
    </i>
  </rowItems>
  <colFields count="1">
    <field x="9"/>
  </colFields>
  <colItems count="5">
    <i>
      <x/>
    </i>
    <i>
      <x v="1"/>
    </i>
    <i>
      <x v="2"/>
    </i>
    <i>
      <x v="3"/>
    </i>
    <i>
      <x v="4"/>
    </i>
  </colItems>
  <dataFields count="1">
    <dataField name="Count of TX ID" fld="0" subtotal="count" baseField="0" baseItem="0"/>
  </dataFields>
  <chartFormats count="5">
    <chartFormat chart="54" format="10" series="1">
      <pivotArea type="data" outline="0" fieldPosition="0">
        <references count="2">
          <reference field="4294967294" count="1" selected="0">
            <x v="0"/>
          </reference>
          <reference field="9" count="1" selected="0">
            <x v="0"/>
          </reference>
        </references>
      </pivotArea>
    </chartFormat>
    <chartFormat chart="54" format="11" series="1">
      <pivotArea type="data" outline="0" fieldPosition="0">
        <references count="2">
          <reference field="4294967294" count="1" selected="0">
            <x v="0"/>
          </reference>
          <reference field="9" count="1" selected="0">
            <x v="1"/>
          </reference>
        </references>
      </pivotArea>
    </chartFormat>
    <chartFormat chart="54" format="12" series="1">
      <pivotArea type="data" outline="0" fieldPosition="0">
        <references count="2">
          <reference field="4294967294" count="1" selected="0">
            <x v="0"/>
          </reference>
          <reference field="9" count="1" selected="0">
            <x v="2"/>
          </reference>
        </references>
      </pivotArea>
    </chartFormat>
    <chartFormat chart="54" format="13" series="1">
      <pivotArea type="data" outline="0" fieldPosition="0">
        <references count="2">
          <reference field="4294967294" count="1" selected="0">
            <x v="0"/>
          </reference>
          <reference field="9" count="1" selected="0">
            <x v="3"/>
          </reference>
        </references>
      </pivotArea>
    </chartFormat>
    <chartFormat chart="54"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42A5D-D9D0-4C55-BF2A-7A97EB5DDD9F}" name="pvtDuration"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1">
  <location ref="B31:C46" firstHeaderRow="1" firstDataRow="1" firstDataCol="1"/>
  <pivotFields count="18">
    <pivotField dataField="1"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axis="axisRow"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2"/>
  </rowFields>
  <rowItems count="15">
    <i>
      <x/>
    </i>
    <i>
      <x v="1"/>
    </i>
    <i>
      <x v="2"/>
    </i>
    <i>
      <x v="3"/>
    </i>
    <i>
      <x v="4"/>
    </i>
    <i>
      <x v="5"/>
    </i>
    <i>
      <x v="6"/>
    </i>
    <i>
      <x v="7"/>
    </i>
    <i>
      <x v="8"/>
    </i>
    <i>
      <x v="9"/>
    </i>
    <i>
      <x v="10"/>
    </i>
    <i>
      <x v="11"/>
    </i>
    <i>
      <x v="12"/>
    </i>
    <i>
      <x v="13"/>
    </i>
    <i>
      <x v="14"/>
    </i>
  </rowItems>
  <colItems count="1">
    <i/>
  </colItems>
  <dataFields count="1">
    <dataField name="Count of TX ID" fld="0" subtotal="count" baseField="0" baseItem="0"/>
  </dataFields>
  <chartFormats count="1">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3FC78D-7A47-41B9-AD29-81E4F521A4B2}" name="pvtGender"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K5:L10"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29" format="11" series="1">
      <pivotArea type="data" outline="0" fieldPosition="0">
        <references count="1">
          <reference field="4294967294" count="1" selected="0">
            <x v="0"/>
          </reference>
        </references>
      </pivotArea>
    </chartFormat>
    <chartFormat chart="29" format="12">
      <pivotArea type="data" outline="0" fieldPosition="0">
        <references count="2">
          <reference field="4294967294" count="1" selected="0">
            <x v="0"/>
          </reference>
          <reference field="14" count="1" selected="0">
            <x v="0"/>
          </reference>
        </references>
      </pivotArea>
    </chartFormat>
    <chartFormat chart="29" format="13">
      <pivotArea type="data" outline="0" fieldPosition="0">
        <references count="2">
          <reference field="4294967294" count="1" selected="0">
            <x v="0"/>
          </reference>
          <reference field="14" count="1" selected="0">
            <x v="1"/>
          </reference>
        </references>
      </pivotArea>
    </chartFormat>
    <chartFormat chart="29" format="14">
      <pivotArea type="data" outline="0" fieldPosition="0">
        <references count="2">
          <reference field="4294967294" count="1" selected="0">
            <x v="0"/>
          </reference>
          <reference field="14" count="1" selected="0">
            <x v="2"/>
          </reference>
        </references>
      </pivotArea>
    </chartFormat>
    <chartFormat chart="29" format="1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E72839-7FBD-4E4D-BD0A-6F8924A86E61}" name="pvtProduc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5:I27"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5" format="8" series="1">
      <pivotArea type="data" outline="0" fieldPosition="0">
        <references count="2">
          <reference field="4294967294" count="1" selected="0">
            <x v="0"/>
          </reference>
          <reference field="14" count="1" selected="0">
            <x v="0"/>
          </reference>
        </references>
      </pivotArea>
    </chartFormat>
    <chartFormat chart="15" format="9" series="1">
      <pivotArea type="data" outline="0" fieldPosition="0">
        <references count="2">
          <reference field="4294967294" count="1" selected="0">
            <x v="0"/>
          </reference>
          <reference field="14" count="1" selected="0">
            <x v="1"/>
          </reference>
        </references>
      </pivotArea>
    </chartFormat>
    <chartFormat chart="15" format="10" series="1">
      <pivotArea type="data" outline="0" fieldPosition="0">
        <references count="2">
          <reference field="4294967294" count="1" selected="0">
            <x v="0"/>
          </reference>
          <reference field="14" count="1" selected="0">
            <x v="2"/>
          </reference>
        </references>
      </pivotArea>
    </chartFormat>
    <chartFormat chart="1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34E0E8-234F-474E-B502-2C6781505A0F}" name="pvtQty"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338764C-A223-468E-9145-3F14A453CBE1}" sourceName="Order Mode">
  <pivotTables>
    <pivotTable tabId="8" name="pvtRating"/>
    <pivotTable tabId="5" name="pvtSummary"/>
    <pivotTable tabId="8" name="pvtDuration"/>
    <pivotTable tabId="8" name="pvtGender"/>
    <pivotTable tabId="8" name="pvtProduct"/>
    <pivotTable tabId="8" name="pvtQty"/>
  </pivotTables>
  <data>
    <tabular pivotCacheId="69147108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51C5578-87BD-4A3F-B032-F0CE80988622}" sourceName="Gender Value">
  <pivotTables>
    <pivotTable tabId="8" name="pvtRating"/>
    <pivotTable tabId="5" name="pvtTrend"/>
    <pivotTable tabId="8" name="pvtDuration"/>
    <pivotTable tabId="8" name="pvtQty"/>
  </pivotTables>
  <data>
    <tabular pivotCacheId="69147108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C30E418-B6A9-47C8-A969-E15CD0AEB0F9}" cache="Slicer_Order_Mode" caption="Order Mode" rowHeight="247650"/>
  <slicer name="Gender Value" xr10:uid="{71D1FC72-CF0D-4DA7-B7A0-DBC46D021E5C}"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Q4" sqref="Q4"/>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3FDE-DCF2-4F3B-8200-2166E0C2BE75}">
  <dimension ref="A2:L10"/>
  <sheetViews>
    <sheetView showGridLines="0" workbookViewId="0">
      <selection activeCell="B7" sqref="B7"/>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s>
  <sheetData>
    <row r="2" spans="1:12" x14ac:dyDescent="0.3">
      <c r="H2" t="s">
        <v>2520</v>
      </c>
    </row>
    <row r="3" spans="1:12" ht="21" customHeight="1" x14ac:dyDescent="0.3">
      <c r="A3" s="3" t="s">
        <v>2509</v>
      </c>
      <c r="B3" s="3" t="s">
        <v>2515</v>
      </c>
    </row>
    <row r="4" spans="1:12" ht="21" customHeight="1" x14ac:dyDescent="0.3">
      <c r="A4" s="3" t="s">
        <v>2505</v>
      </c>
      <c r="B4" t="s">
        <v>2516</v>
      </c>
      <c r="C4" t="s">
        <v>2517</v>
      </c>
      <c r="D4" t="s">
        <v>2518</v>
      </c>
      <c r="E4" t="s">
        <v>2519</v>
      </c>
      <c r="F4" t="s">
        <v>2506</v>
      </c>
      <c r="H4" s="7"/>
      <c r="I4" s="8" t="s">
        <v>2521</v>
      </c>
      <c r="J4" s="8" t="s">
        <v>23</v>
      </c>
      <c r="K4" s="8" t="s">
        <v>2522</v>
      </c>
      <c r="L4" s="8" t="s">
        <v>2523</v>
      </c>
    </row>
    <row r="5" spans="1:12" ht="21" customHeight="1" x14ac:dyDescent="0.3">
      <c r="A5" s="4" t="s">
        <v>18</v>
      </c>
      <c r="B5" s="6">
        <v>0.18961825201634841</v>
      </c>
      <c r="C5" s="6">
        <v>0.12262322351336576</v>
      </c>
      <c r="D5" s="6">
        <v>1.060537752469185E-2</v>
      </c>
      <c r="E5" s="6">
        <v>3.0599220547662797E-2</v>
      </c>
      <c r="F5" s="6">
        <v>0.35344607360206881</v>
      </c>
      <c r="H5" s="7" t="str">
        <f>A5</f>
        <v>App</v>
      </c>
      <c r="I5" s="9">
        <f t="shared" ref="I5:L9" si="0">B5</f>
        <v>0.18961825201634841</v>
      </c>
      <c r="J5" s="9">
        <f t="shared" si="0"/>
        <v>0.12262322351336576</v>
      </c>
      <c r="K5" s="9">
        <f t="shared" si="0"/>
        <v>1.060537752469185E-2</v>
      </c>
      <c r="L5" s="9">
        <f t="shared" si="0"/>
        <v>3.0599220547662797E-2</v>
      </c>
    </row>
    <row r="6" spans="1:12" ht="21" customHeight="1" x14ac:dyDescent="0.3">
      <c r="A6" s="4" t="s">
        <v>51</v>
      </c>
      <c r="B6" s="6">
        <v>5.0283982091147303E-2</v>
      </c>
      <c r="C6" s="6">
        <v>4.3060781812819873E-2</v>
      </c>
      <c r="D6" s="6">
        <v>1.5320025675641944E-3</v>
      </c>
      <c r="E6" s="6">
        <v>1.7794988689097006E-2</v>
      </c>
      <c r="F6" s="6">
        <v>0.11267175516062837</v>
      </c>
      <c r="H6" s="7" t="str">
        <f t="shared" ref="H6:H9" si="1">A6</f>
        <v>Instagram</v>
      </c>
      <c r="I6" s="9">
        <f t="shared" si="0"/>
        <v>5.0283982091147303E-2</v>
      </c>
      <c r="J6" s="9">
        <f t="shared" si="0"/>
        <v>4.3060781812819873E-2</v>
      </c>
      <c r="K6" s="9">
        <f t="shared" si="0"/>
        <v>1.5320025675641944E-3</v>
      </c>
      <c r="L6" s="9">
        <f t="shared" si="0"/>
        <v>1.7794988689097006E-2</v>
      </c>
    </row>
    <row r="7" spans="1:12" ht="21" customHeight="1" x14ac:dyDescent="0.3">
      <c r="A7" s="4" t="s">
        <v>70</v>
      </c>
      <c r="B7" s="6">
        <v>6.3496059750411282E-2</v>
      </c>
      <c r="C7" s="6">
        <v>4.6071629863988765E-2</v>
      </c>
      <c r="D7" s="6">
        <v>2.306247051322625E-3</v>
      </c>
      <c r="E7" s="6">
        <v>3.8927934093844286E-3</v>
      </c>
      <c r="F7" s="6">
        <v>0.11576673007510711</v>
      </c>
      <c r="H7" s="7" t="str">
        <f t="shared" si="1"/>
        <v>Partner App</v>
      </c>
      <c r="I7" s="9">
        <f t="shared" si="0"/>
        <v>6.3496059750411282E-2</v>
      </c>
      <c r="J7" s="9">
        <f t="shared" si="0"/>
        <v>4.6071629863988765E-2</v>
      </c>
      <c r="K7" s="9">
        <f t="shared" si="0"/>
        <v>2.306247051322625E-3</v>
      </c>
      <c r="L7" s="9">
        <f t="shared" si="0"/>
        <v>3.8927934093844286E-3</v>
      </c>
    </row>
    <row r="8" spans="1:12" ht="21" customHeight="1" x14ac:dyDescent="0.3">
      <c r="A8" s="4" t="s">
        <v>40</v>
      </c>
      <c r="B8" s="6">
        <v>9.6337892927149532E-2</v>
      </c>
      <c r="C8" s="6">
        <v>6.7920115842382611E-2</v>
      </c>
      <c r="D8" s="6">
        <v>5.4979832664581261E-3</v>
      </c>
      <c r="E8" s="6">
        <v>1.2933041488102518E-2</v>
      </c>
      <c r="F8" s="6">
        <v>0.1826890335240928</v>
      </c>
      <c r="H8" s="7" t="str">
        <f t="shared" si="1"/>
        <v>Target.com</v>
      </c>
      <c r="I8" s="9">
        <f t="shared" si="0"/>
        <v>9.6337892927149532E-2</v>
      </c>
      <c r="J8" s="9">
        <f t="shared" si="0"/>
        <v>6.7920115842382611E-2</v>
      </c>
      <c r="K8" s="9">
        <f t="shared" si="0"/>
        <v>5.4979832664581261E-3</v>
      </c>
      <c r="L8" s="9">
        <f t="shared" si="0"/>
        <v>1.2933041488102518E-2</v>
      </c>
    </row>
    <row r="9" spans="1:12" ht="21" customHeight="1" x14ac:dyDescent="0.3">
      <c r="A9" s="4" t="s">
        <v>35</v>
      </c>
      <c r="B9" s="6">
        <v>0.12522098709469262</v>
      </c>
      <c r="C9" s="6">
        <v>9.1492740283116228E-2</v>
      </c>
      <c r="D9" s="6">
        <v>6.3042760790965081E-3</v>
      </c>
      <c r="E9" s="6">
        <v>1.2408404181197551E-2</v>
      </c>
      <c r="F9" s="6">
        <v>0.23542640763810288</v>
      </c>
      <c r="H9" s="7" t="str">
        <f t="shared" si="1"/>
        <v>Website</v>
      </c>
      <c r="I9" s="9">
        <f t="shared" si="0"/>
        <v>0.12522098709469262</v>
      </c>
      <c r="J9" s="9">
        <f t="shared" si="0"/>
        <v>9.1492740283116228E-2</v>
      </c>
      <c r="K9" s="9">
        <f t="shared" si="0"/>
        <v>6.3042760790965081E-3</v>
      </c>
      <c r="L9" s="9">
        <f t="shared" si="0"/>
        <v>1.2408404181197551E-2</v>
      </c>
    </row>
    <row r="10" spans="1:12" ht="21" customHeight="1" x14ac:dyDescent="0.3">
      <c r="A10" s="4" t="s">
        <v>2506</v>
      </c>
      <c r="B10" s="6">
        <v>0.52495717387974916</v>
      </c>
      <c r="C10" s="6">
        <v>0.3711684913156732</v>
      </c>
      <c r="D10" s="6">
        <v>2.6245886489133303E-2</v>
      </c>
      <c r="E10" s="6">
        <v>7.7628448315444312E-2</v>
      </c>
      <c r="F10" s="6">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C720-7CCE-4220-A703-6F84AEA60743}">
  <dimension ref="A3:L23"/>
  <sheetViews>
    <sheetView workbookViewId="0">
      <selection activeCell="E10" sqref="E10"/>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22.33203125" bestFit="1" customWidth="1"/>
    <col min="11" max="11" width="10" bestFit="1" customWidth="1"/>
    <col min="12" max="12" width="8.77734375" bestFit="1" customWidth="1"/>
  </cols>
  <sheetData>
    <row r="3" spans="1:12" x14ac:dyDescent="0.3">
      <c r="A3" t="s">
        <v>2507</v>
      </c>
      <c r="B3" t="s">
        <v>2508</v>
      </c>
      <c r="C3" t="s">
        <v>2509</v>
      </c>
      <c r="D3" t="s">
        <v>2510</v>
      </c>
      <c r="E3" t="s">
        <v>2511</v>
      </c>
      <c r="H3" t="s">
        <v>2512</v>
      </c>
    </row>
    <row r="4" spans="1:12" x14ac:dyDescent="0.3">
      <c r="A4" s="10">
        <v>2400</v>
      </c>
      <c r="B4" s="10">
        <v>11997</v>
      </c>
      <c r="C4" s="10">
        <v>649019.80000000144</v>
      </c>
      <c r="D4" s="10">
        <v>3.9620833333333332</v>
      </c>
      <c r="E4" s="10">
        <v>2.3424999999999998</v>
      </c>
      <c r="H4" t="s">
        <v>2504</v>
      </c>
      <c r="I4" t="s">
        <v>2513</v>
      </c>
      <c r="J4" t="s">
        <v>4</v>
      </c>
      <c r="K4" t="s">
        <v>2503</v>
      </c>
      <c r="L4" t="s">
        <v>2514</v>
      </c>
    </row>
    <row r="5" spans="1:12" x14ac:dyDescent="0.3">
      <c r="H5" t="str">
        <f>TEXT(A4,"#,##")</f>
        <v>2,400</v>
      </c>
      <c r="I5" t="str">
        <f t="shared" ref="I5" si="0">TEXT(B4,"#,##")</f>
        <v>11,997</v>
      </c>
      <c r="J5" t="str">
        <f>TEXT(C4,"$#,##,.0k")</f>
        <v>$649.0k</v>
      </c>
      <c r="K5" t="str">
        <f>TEXT(D4,"0.0")</f>
        <v>4.0</v>
      </c>
      <c r="L5" t="str">
        <f>TEXT(E4,"0.0")</f>
        <v>2.3</v>
      </c>
    </row>
    <row r="8" spans="1:12" x14ac:dyDescent="0.3">
      <c r="A8" t="s">
        <v>2532</v>
      </c>
    </row>
    <row r="9" spans="1:12" x14ac:dyDescent="0.3">
      <c r="A9" s="3" t="s">
        <v>2505</v>
      </c>
      <c r="B9" t="s">
        <v>2508</v>
      </c>
      <c r="C9" t="s">
        <v>2509</v>
      </c>
    </row>
    <row r="10" spans="1:12" x14ac:dyDescent="0.3">
      <c r="A10" s="4">
        <v>1</v>
      </c>
      <c r="B10" s="10">
        <v>546</v>
      </c>
      <c r="C10" s="5">
        <v>32413.300000000003</v>
      </c>
    </row>
    <row r="11" spans="1:12" x14ac:dyDescent="0.3">
      <c r="A11" s="4">
        <v>2</v>
      </c>
      <c r="B11" s="10">
        <v>905</v>
      </c>
      <c r="C11" s="5">
        <v>49562.999999999993</v>
      </c>
    </row>
    <row r="12" spans="1:12" x14ac:dyDescent="0.3">
      <c r="A12" s="4">
        <v>3</v>
      </c>
      <c r="B12" s="10">
        <v>796</v>
      </c>
      <c r="C12" s="5">
        <v>41700.400000000016</v>
      </c>
    </row>
    <row r="13" spans="1:12" x14ac:dyDescent="0.3">
      <c r="A13" s="4">
        <v>4</v>
      </c>
      <c r="B13" s="10">
        <v>913</v>
      </c>
      <c r="C13" s="5">
        <v>46782.599999999984</v>
      </c>
    </row>
    <row r="14" spans="1:12" x14ac:dyDescent="0.3">
      <c r="A14" s="4">
        <v>5</v>
      </c>
      <c r="B14" s="10">
        <v>844</v>
      </c>
      <c r="C14" s="5">
        <v>42676.100000000006</v>
      </c>
    </row>
    <row r="15" spans="1:12" x14ac:dyDescent="0.3">
      <c r="A15" s="4">
        <v>6</v>
      </c>
      <c r="B15" s="10">
        <v>1202</v>
      </c>
      <c r="C15" s="5">
        <v>62910.7</v>
      </c>
    </row>
    <row r="16" spans="1:12" x14ac:dyDescent="0.3">
      <c r="A16" s="4">
        <v>7</v>
      </c>
      <c r="B16" s="10">
        <v>935</v>
      </c>
      <c r="C16" s="5">
        <v>50332.200000000004</v>
      </c>
    </row>
    <row r="17" spans="1:3" x14ac:dyDescent="0.3">
      <c r="A17" s="4">
        <v>8</v>
      </c>
      <c r="B17" s="10">
        <v>1128</v>
      </c>
      <c r="C17" s="5">
        <v>58760.599999999977</v>
      </c>
    </row>
    <row r="18" spans="1:3" x14ac:dyDescent="0.3">
      <c r="A18" s="4">
        <v>9</v>
      </c>
      <c r="B18" s="10">
        <v>1007</v>
      </c>
      <c r="C18" s="5">
        <v>52017.299999999996</v>
      </c>
    </row>
    <row r="19" spans="1:3" x14ac:dyDescent="0.3">
      <c r="A19" s="4">
        <v>10</v>
      </c>
      <c r="B19" s="10">
        <v>1128</v>
      </c>
      <c r="C19" s="5">
        <v>64915.700000000033</v>
      </c>
    </row>
    <row r="20" spans="1:3" x14ac:dyDescent="0.3">
      <c r="A20" s="4">
        <v>11</v>
      </c>
      <c r="B20" s="10">
        <v>861</v>
      </c>
      <c r="C20" s="5">
        <v>45943.80000000001</v>
      </c>
    </row>
    <row r="21" spans="1:3" x14ac:dyDescent="0.3">
      <c r="A21" s="4">
        <v>12</v>
      </c>
      <c r="B21" s="10">
        <v>944</v>
      </c>
      <c r="C21" s="5">
        <v>55077.900000000031</v>
      </c>
    </row>
    <row r="22" spans="1:3" x14ac:dyDescent="0.3">
      <c r="A22" s="4">
        <v>13</v>
      </c>
      <c r="B22" s="10">
        <v>788</v>
      </c>
      <c r="C22" s="5">
        <v>45926.19999999999</v>
      </c>
    </row>
    <row r="23" spans="1:3" x14ac:dyDescent="0.3">
      <c r="A23" s="4" t="s">
        <v>2506</v>
      </c>
      <c r="B23" s="10">
        <v>11997</v>
      </c>
      <c r="C23" s="5">
        <v>649019.79999999993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A716-D340-4442-AE75-0755F2FAB36A}">
  <dimension ref="A2:L46"/>
  <sheetViews>
    <sheetView workbookViewId="0">
      <selection activeCell="L15" sqref="L15"/>
    </sheetView>
  </sheetViews>
  <sheetFormatPr defaultRowHeight="14.4" x14ac:dyDescent="0.3"/>
  <cols>
    <col min="1" max="1" width="12.44140625" bestFit="1" customWidth="1"/>
    <col min="2" max="3" width="12.21875" bestFit="1" customWidth="1"/>
    <col min="4" max="4" width="19.109375" bestFit="1" customWidth="1"/>
    <col min="5" max="5" width="15.5546875" bestFit="1" customWidth="1"/>
    <col min="6" max="6" width="5" bestFit="1" customWidth="1"/>
    <col min="7" max="7" width="5.6640625" bestFit="1" customWidth="1"/>
    <col min="8" max="8" width="8.5546875" bestFit="1" customWidth="1"/>
    <col min="9" max="9" width="10.5546875" bestFit="1" customWidth="1"/>
    <col min="10" max="10" width="4" bestFit="1" customWidth="1"/>
    <col min="11" max="11" width="12.44140625" bestFit="1" customWidth="1"/>
    <col min="12" max="12" width="14.21875" bestFit="1" customWidth="1"/>
    <col min="14" max="14" width="15.5546875" bestFit="1" customWidth="1"/>
    <col min="15" max="15" width="12.21875" bestFit="1" customWidth="1"/>
    <col min="16" max="16" width="13.5546875" bestFit="1" customWidth="1"/>
    <col min="17" max="17" width="20.109375" bestFit="1" customWidth="1"/>
    <col min="18" max="18" width="10" bestFit="1" customWidth="1"/>
    <col min="19" max="19" width="3" bestFit="1" customWidth="1"/>
    <col min="20" max="22" width="4" bestFit="1" customWidth="1"/>
    <col min="23" max="48" width="9" bestFit="1" customWidth="1"/>
    <col min="49" max="105" width="9.44140625" bestFit="1" customWidth="1"/>
  </cols>
  <sheetData>
    <row r="2" spans="1:12" x14ac:dyDescent="0.3">
      <c r="A2" t="s">
        <v>2530</v>
      </c>
    </row>
    <row r="3" spans="1:12" x14ac:dyDescent="0.3">
      <c r="A3" s="3" t="s">
        <v>2505</v>
      </c>
      <c r="B3" t="s">
        <v>2507</v>
      </c>
    </row>
    <row r="4" spans="1:12" x14ac:dyDescent="0.3">
      <c r="A4" s="4">
        <v>1</v>
      </c>
      <c r="B4" s="10">
        <v>397</v>
      </c>
      <c r="D4" t="s">
        <v>2531</v>
      </c>
    </row>
    <row r="5" spans="1:12" x14ac:dyDescent="0.3">
      <c r="A5" s="4">
        <v>2</v>
      </c>
      <c r="B5" s="10">
        <v>540</v>
      </c>
      <c r="D5" s="3" t="s">
        <v>2508</v>
      </c>
      <c r="E5" s="3" t="s">
        <v>2515</v>
      </c>
      <c r="K5" s="3" t="s">
        <v>2505</v>
      </c>
      <c r="L5" t="s">
        <v>2508</v>
      </c>
    </row>
    <row r="6" spans="1:12" x14ac:dyDescent="0.3">
      <c r="A6" s="4">
        <v>3</v>
      </c>
      <c r="B6" s="10">
        <v>375</v>
      </c>
      <c r="D6" s="3" t="s">
        <v>2505</v>
      </c>
      <c r="E6" t="s">
        <v>2516</v>
      </c>
      <c r="F6" t="s">
        <v>2517</v>
      </c>
      <c r="G6" t="s">
        <v>2518</v>
      </c>
      <c r="H6" t="s">
        <v>2519</v>
      </c>
      <c r="I6" t="s">
        <v>2506</v>
      </c>
      <c r="K6" s="4" t="s">
        <v>2516</v>
      </c>
      <c r="L6" s="10">
        <v>6272</v>
      </c>
    </row>
    <row r="7" spans="1:12" x14ac:dyDescent="0.3">
      <c r="A7" s="4">
        <v>4</v>
      </c>
      <c r="B7" s="10">
        <v>246</v>
      </c>
      <c r="D7" s="4" t="s">
        <v>44</v>
      </c>
      <c r="E7" s="10">
        <v>744</v>
      </c>
      <c r="F7" s="10">
        <v>713</v>
      </c>
      <c r="G7" s="10">
        <v>90</v>
      </c>
      <c r="H7" s="10">
        <v>98</v>
      </c>
      <c r="I7" s="10">
        <v>1645</v>
      </c>
      <c r="K7" s="4" t="s">
        <v>2517</v>
      </c>
      <c r="L7" s="10">
        <v>4672</v>
      </c>
    </row>
    <row r="8" spans="1:12" x14ac:dyDescent="0.3">
      <c r="A8" s="4">
        <v>5</v>
      </c>
      <c r="B8" s="10">
        <v>195</v>
      </c>
      <c r="D8" s="4" t="s">
        <v>39</v>
      </c>
      <c r="E8" s="10">
        <v>716</v>
      </c>
      <c r="F8" s="10">
        <v>598</v>
      </c>
      <c r="G8" s="10">
        <v>18</v>
      </c>
      <c r="H8" s="10">
        <v>214</v>
      </c>
      <c r="I8" s="10">
        <v>1546</v>
      </c>
      <c r="K8" s="4" t="s">
        <v>2518</v>
      </c>
      <c r="L8" s="10">
        <v>317</v>
      </c>
    </row>
    <row r="9" spans="1:12" x14ac:dyDescent="0.3">
      <c r="A9" s="4" t="s">
        <v>2524</v>
      </c>
      <c r="B9" s="10">
        <v>414</v>
      </c>
      <c r="D9" s="4" t="s">
        <v>26</v>
      </c>
      <c r="E9" s="10">
        <v>627</v>
      </c>
      <c r="F9" s="10">
        <v>393</v>
      </c>
      <c r="G9" s="10">
        <v>29</v>
      </c>
      <c r="H9" s="10">
        <v>137</v>
      </c>
      <c r="I9" s="10">
        <v>1186</v>
      </c>
      <c r="K9" s="4" t="s">
        <v>2519</v>
      </c>
      <c r="L9" s="10">
        <v>736</v>
      </c>
    </row>
    <row r="10" spans="1:12" x14ac:dyDescent="0.3">
      <c r="A10" s="4" t="s">
        <v>2525</v>
      </c>
      <c r="B10" s="10">
        <v>233</v>
      </c>
      <c r="D10" s="4" t="s">
        <v>22</v>
      </c>
      <c r="E10" s="10">
        <v>568</v>
      </c>
      <c r="F10" s="10">
        <v>306</v>
      </c>
      <c r="G10" s="10">
        <v>22</v>
      </c>
      <c r="H10" s="10">
        <v>16</v>
      </c>
      <c r="I10" s="10">
        <v>912</v>
      </c>
      <c r="K10" s="4" t="s">
        <v>2506</v>
      </c>
      <c r="L10" s="10">
        <v>11997</v>
      </c>
    </row>
    <row r="11" spans="1:12" x14ac:dyDescent="0.3">
      <c r="A11" s="4" t="s">
        <v>2506</v>
      </c>
      <c r="B11" s="10">
        <v>2400</v>
      </c>
      <c r="D11" s="4" t="s">
        <v>54</v>
      </c>
      <c r="E11" s="10">
        <v>482</v>
      </c>
      <c r="F11" s="10">
        <v>295</v>
      </c>
      <c r="G11" s="10">
        <v>8</v>
      </c>
      <c r="H11" s="10">
        <v>22</v>
      </c>
      <c r="I11" s="10">
        <v>807</v>
      </c>
    </row>
    <row r="12" spans="1:12" x14ac:dyDescent="0.3">
      <c r="D12" s="4" t="s">
        <v>16</v>
      </c>
      <c r="E12" s="10">
        <v>428</v>
      </c>
      <c r="F12" s="10">
        <v>293</v>
      </c>
      <c r="G12" s="10"/>
      <c r="H12" s="10">
        <v>24</v>
      </c>
      <c r="I12" s="10">
        <v>745</v>
      </c>
    </row>
    <row r="13" spans="1:12" x14ac:dyDescent="0.3">
      <c r="D13" s="4" t="s">
        <v>46</v>
      </c>
      <c r="E13" s="10">
        <v>445</v>
      </c>
      <c r="F13" s="10">
        <v>202</v>
      </c>
      <c r="G13" s="10">
        <v>14</v>
      </c>
      <c r="H13" s="10">
        <v>39</v>
      </c>
      <c r="I13" s="10">
        <v>700</v>
      </c>
    </row>
    <row r="14" spans="1:12" x14ac:dyDescent="0.3">
      <c r="D14" s="4" t="s">
        <v>32</v>
      </c>
      <c r="E14" s="10">
        <v>431</v>
      </c>
      <c r="F14" s="10">
        <v>187</v>
      </c>
      <c r="G14" s="10">
        <v>14</v>
      </c>
      <c r="H14" s="10">
        <v>15</v>
      </c>
      <c r="I14" s="10">
        <v>647</v>
      </c>
    </row>
    <row r="15" spans="1:12" x14ac:dyDescent="0.3">
      <c r="D15" s="4" t="s">
        <v>42</v>
      </c>
      <c r="E15" s="10">
        <v>264</v>
      </c>
      <c r="F15" s="10">
        <v>318</v>
      </c>
      <c r="G15" s="10">
        <v>15</v>
      </c>
      <c r="H15" s="10">
        <v>9</v>
      </c>
      <c r="I15" s="10">
        <v>606</v>
      </c>
    </row>
    <row r="16" spans="1:12" x14ac:dyDescent="0.3">
      <c r="D16" s="4" t="s">
        <v>37</v>
      </c>
      <c r="E16" s="10">
        <v>296</v>
      </c>
      <c r="F16" s="10">
        <v>275</v>
      </c>
      <c r="G16" s="10">
        <v>9</v>
      </c>
      <c r="H16" s="10">
        <v>23</v>
      </c>
      <c r="I16" s="10">
        <v>603</v>
      </c>
    </row>
    <row r="17" spans="2:9" x14ac:dyDescent="0.3">
      <c r="D17" s="4" t="s">
        <v>123</v>
      </c>
      <c r="E17" s="10">
        <v>153</v>
      </c>
      <c r="F17" s="10">
        <v>246</v>
      </c>
      <c r="G17" s="10">
        <v>30</v>
      </c>
      <c r="H17" s="10">
        <v>8</v>
      </c>
      <c r="I17" s="10">
        <v>437</v>
      </c>
    </row>
    <row r="18" spans="2:9" x14ac:dyDescent="0.3">
      <c r="D18" s="4" t="s">
        <v>146</v>
      </c>
      <c r="E18" s="10">
        <v>189</v>
      </c>
      <c r="F18" s="10">
        <v>168</v>
      </c>
      <c r="G18" s="10">
        <v>10</v>
      </c>
      <c r="H18" s="10">
        <v>31</v>
      </c>
      <c r="I18" s="10">
        <v>398</v>
      </c>
    </row>
    <row r="19" spans="2:9" x14ac:dyDescent="0.3">
      <c r="D19" s="4" t="s">
        <v>69</v>
      </c>
      <c r="E19" s="10">
        <v>234</v>
      </c>
      <c r="F19" s="10">
        <v>93</v>
      </c>
      <c r="G19" s="10">
        <v>19</v>
      </c>
      <c r="H19" s="10">
        <v>24</v>
      </c>
      <c r="I19" s="10">
        <v>370</v>
      </c>
    </row>
    <row r="20" spans="2:9" x14ac:dyDescent="0.3">
      <c r="D20" s="4" t="s">
        <v>30</v>
      </c>
      <c r="E20" s="10">
        <v>146</v>
      </c>
      <c r="F20" s="10">
        <v>94</v>
      </c>
      <c r="G20" s="10">
        <v>4</v>
      </c>
      <c r="H20" s="10">
        <v>28</v>
      </c>
      <c r="I20" s="10">
        <v>272</v>
      </c>
    </row>
    <row r="21" spans="2:9" x14ac:dyDescent="0.3">
      <c r="D21" s="4" t="s">
        <v>135</v>
      </c>
      <c r="E21" s="10">
        <v>127</v>
      </c>
      <c r="F21" s="10">
        <v>118</v>
      </c>
      <c r="G21" s="10">
        <v>13</v>
      </c>
      <c r="H21" s="10">
        <v>12</v>
      </c>
      <c r="I21" s="10">
        <v>270</v>
      </c>
    </row>
    <row r="22" spans="2:9" x14ac:dyDescent="0.3">
      <c r="D22" s="4" t="s">
        <v>67</v>
      </c>
      <c r="E22" s="10">
        <v>179</v>
      </c>
      <c r="F22" s="10">
        <v>76</v>
      </c>
      <c r="G22" s="10">
        <v>3</v>
      </c>
      <c r="H22" s="10"/>
      <c r="I22" s="10">
        <v>258</v>
      </c>
    </row>
    <row r="23" spans="2:9" x14ac:dyDescent="0.3">
      <c r="D23" s="4" t="s">
        <v>128</v>
      </c>
      <c r="E23" s="10">
        <v>99</v>
      </c>
      <c r="F23" s="10">
        <v>69</v>
      </c>
      <c r="G23" s="10">
        <v>3</v>
      </c>
      <c r="H23" s="10">
        <v>24</v>
      </c>
      <c r="I23" s="10">
        <v>195</v>
      </c>
    </row>
    <row r="24" spans="2:9" x14ac:dyDescent="0.3">
      <c r="D24" s="4" t="s">
        <v>76</v>
      </c>
      <c r="E24" s="10">
        <v>75</v>
      </c>
      <c r="F24" s="10">
        <v>103</v>
      </c>
      <c r="G24" s="10">
        <v>4</v>
      </c>
      <c r="H24" s="10">
        <v>6</v>
      </c>
      <c r="I24" s="10">
        <v>188</v>
      </c>
    </row>
    <row r="25" spans="2:9" x14ac:dyDescent="0.3">
      <c r="D25" s="4" t="s">
        <v>81</v>
      </c>
      <c r="E25" s="10">
        <v>43</v>
      </c>
      <c r="F25" s="10">
        <v>90</v>
      </c>
      <c r="G25" s="10">
        <v>8</v>
      </c>
      <c r="H25" s="10">
        <v>6</v>
      </c>
      <c r="I25" s="10">
        <v>147</v>
      </c>
    </row>
    <row r="26" spans="2:9" x14ac:dyDescent="0.3">
      <c r="D26" s="4" t="s">
        <v>171</v>
      </c>
      <c r="E26" s="10">
        <v>26</v>
      </c>
      <c r="F26" s="10">
        <v>35</v>
      </c>
      <c r="G26" s="10">
        <v>4</v>
      </c>
      <c r="H26" s="10"/>
      <c r="I26" s="10">
        <v>65</v>
      </c>
    </row>
    <row r="27" spans="2:9" x14ac:dyDescent="0.3">
      <c r="D27" s="4" t="s">
        <v>2506</v>
      </c>
      <c r="E27" s="10">
        <v>6272</v>
      </c>
      <c r="F27" s="10">
        <v>4672</v>
      </c>
      <c r="G27" s="10">
        <v>317</v>
      </c>
      <c r="H27" s="10">
        <v>736</v>
      </c>
      <c r="I27" s="10">
        <v>11997</v>
      </c>
    </row>
    <row r="31" spans="2:9" x14ac:dyDescent="0.3">
      <c r="B31" s="3" t="s">
        <v>12</v>
      </c>
      <c r="C31" t="s">
        <v>2507</v>
      </c>
    </row>
    <row r="32" spans="2:9" x14ac:dyDescent="0.3">
      <c r="B32">
        <v>0</v>
      </c>
      <c r="C32" s="10">
        <v>175</v>
      </c>
    </row>
    <row r="33" spans="2:11" x14ac:dyDescent="0.3">
      <c r="B33">
        <v>1</v>
      </c>
      <c r="C33" s="10">
        <v>888</v>
      </c>
    </row>
    <row r="34" spans="2:11" x14ac:dyDescent="0.3">
      <c r="B34">
        <v>2</v>
      </c>
      <c r="C34" s="10">
        <v>538</v>
      </c>
    </row>
    <row r="35" spans="2:11" x14ac:dyDescent="0.3">
      <c r="B35">
        <v>3</v>
      </c>
      <c r="C35" s="10">
        <v>344</v>
      </c>
    </row>
    <row r="36" spans="2:11" x14ac:dyDescent="0.3">
      <c r="B36">
        <v>4</v>
      </c>
      <c r="C36" s="10">
        <v>200</v>
      </c>
    </row>
    <row r="37" spans="2:11" x14ac:dyDescent="0.3">
      <c r="B37">
        <v>5</v>
      </c>
      <c r="C37" s="10">
        <v>94</v>
      </c>
      <c r="F37" s="3" t="s">
        <v>2507</v>
      </c>
      <c r="G37" s="3" t="s">
        <v>9</v>
      </c>
    </row>
    <row r="38" spans="2:11" x14ac:dyDescent="0.3">
      <c r="B38">
        <v>6</v>
      </c>
      <c r="C38" s="10">
        <v>51</v>
      </c>
      <c r="F38" s="3" t="s">
        <v>2526</v>
      </c>
      <c r="G38">
        <v>1</v>
      </c>
      <c r="H38">
        <v>2</v>
      </c>
      <c r="I38">
        <v>3</v>
      </c>
      <c r="J38">
        <v>4</v>
      </c>
      <c r="K38">
        <v>5</v>
      </c>
    </row>
    <row r="39" spans="2:11" x14ac:dyDescent="0.3">
      <c r="B39">
        <v>7</v>
      </c>
      <c r="C39" s="10">
        <v>32</v>
      </c>
      <c r="F39" t="s">
        <v>2527</v>
      </c>
      <c r="G39" s="10">
        <v>7</v>
      </c>
      <c r="H39" s="10">
        <v>37</v>
      </c>
      <c r="I39" s="10">
        <v>150</v>
      </c>
      <c r="J39" s="10">
        <v>312</v>
      </c>
      <c r="K39" s="10">
        <v>224</v>
      </c>
    </row>
    <row r="40" spans="2:11" x14ac:dyDescent="0.3">
      <c r="B40">
        <v>8</v>
      </c>
      <c r="C40" s="10">
        <v>23</v>
      </c>
      <c r="F40" t="s">
        <v>2528</v>
      </c>
      <c r="G40" s="10">
        <v>8</v>
      </c>
      <c r="H40" s="10">
        <v>51</v>
      </c>
      <c r="I40" s="10">
        <v>182</v>
      </c>
      <c r="J40" s="10">
        <v>373</v>
      </c>
      <c r="K40" s="10">
        <v>247</v>
      </c>
    </row>
    <row r="41" spans="2:11" x14ac:dyDescent="0.3">
      <c r="B41">
        <v>9</v>
      </c>
      <c r="C41" s="10">
        <v>9</v>
      </c>
      <c r="F41" t="s">
        <v>2529</v>
      </c>
      <c r="G41" s="10">
        <v>6</v>
      </c>
      <c r="H41" s="10">
        <v>39</v>
      </c>
      <c r="I41" s="10">
        <v>163</v>
      </c>
      <c r="J41" s="10">
        <v>351</v>
      </c>
      <c r="K41" s="10">
        <v>250</v>
      </c>
    </row>
    <row r="42" spans="2:11" x14ac:dyDescent="0.3">
      <c r="B42">
        <v>10</v>
      </c>
      <c r="C42" s="10">
        <v>8</v>
      </c>
    </row>
    <row r="43" spans="2:11" x14ac:dyDescent="0.3">
      <c r="B43">
        <v>11</v>
      </c>
      <c r="C43" s="10">
        <v>11</v>
      </c>
    </row>
    <row r="44" spans="2:11" x14ac:dyDescent="0.3">
      <c r="B44">
        <v>12</v>
      </c>
      <c r="C44" s="10">
        <v>4</v>
      </c>
    </row>
    <row r="45" spans="2:11" x14ac:dyDescent="0.3">
      <c r="B45">
        <v>13</v>
      </c>
      <c r="C45" s="10">
        <v>10</v>
      </c>
    </row>
    <row r="46" spans="2:11" x14ac:dyDescent="0.3">
      <c r="B46">
        <v>14</v>
      </c>
      <c r="C46" s="10">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CE17-3B01-4199-9CFA-5EE14F788362}">
  <dimension ref="A1"/>
  <sheetViews>
    <sheetView tabSelected="1" zoomScale="79" zoomScaleNormal="80" workbookViewId="0">
      <selection activeCell="AB8" sqref="AB8"/>
    </sheetView>
  </sheetViews>
  <sheetFormatPr defaultRowHeight="14.4" x14ac:dyDescent="0.3"/>
  <cols>
    <col min="1" max="1" width="2.77734375" customWidth="1"/>
    <col min="2" max="2" width="16.33203125" customWidth="1"/>
    <col min="3" max="3" width="2.77734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Attribute of Buying Plateform</vt:lpstr>
      <vt:lpstr>Pivots</vt:lpstr>
      <vt:lpstr>Pivots2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Avneesh Kumar</cp:lastModifiedBy>
  <dcterms:created xsi:type="dcterms:W3CDTF">2025-06-13T02:42:26Z</dcterms:created>
  <dcterms:modified xsi:type="dcterms:W3CDTF">2026-04-02T10:49:45Z</dcterms:modified>
</cp:coreProperties>
</file>